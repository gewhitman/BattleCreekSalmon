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te.willmes\Downloads\"/>
    </mc:Choice>
  </mc:AlternateContent>
  <xr:revisionPtr revIDLastSave="0" documentId="13_ncr:1_{09DF4903-7343-4427-907C-ED2E508BA3C0}" xr6:coauthVersionLast="47" xr6:coauthVersionMax="47" xr10:uidLastSave="{00000000-0000-0000-0000-000000000000}"/>
  <bookViews>
    <workbookView xWindow="-120" yWindow="-120" windowWidth="29040" windowHeight="17640" activeTab="1" xr2:uid="{4A0151F9-BF0B-4502-B86E-27503CA2F639}"/>
  </bookViews>
  <sheets>
    <sheet name="summary" sheetId="4" r:id="rId1"/>
    <sheet name="sample_list" sheetId="1" r:id="rId2"/>
    <sheet name="assignments" sheetId="6" r:id="rId3"/>
    <sheet name="Sheet1" sheetId="5" r:id="rId4"/>
  </sheets>
  <definedNames>
    <definedName name="_xlnm._FilterDatabase" localSheetId="1" hidden="1">sample_list!$A$1:$Q$376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6" i="1" l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2" i="1"/>
  <c r="M61" i="1"/>
  <c r="M60" i="1"/>
  <c r="M40" i="1"/>
  <c r="M39" i="1"/>
  <c r="M38" i="1"/>
  <c r="M37" i="1"/>
  <c r="M36" i="1"/>
  <c r="M35" i="1"/>
  <c r="M34" i="1"/>
  <c r="M33" i="1"/>
  <c r="M32" i="1"/>
  <c r="M23" i="1"/>
  <c r="M22" i="1"/>
  <c r="M21" i="1"/>
  <c r="M20" i="1"/>
  <c r="M19" i="1"/>
  <c r="M1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<sst xmlns="http://schemas.openxmlformats.org/spreadsheetml/2006/main" count="6048" uniqueCount="881">
  <si>
    <t>lab_id</t>
  </si>
  <si>
    <t>project_code</t>
  </si>
  <si>
    <t>site_id</t>
  </si>
  <si>
    <t>location</t>
  </si>
  <si>
    <t>year</t>
  </si>
  <si>
    <t>collect_date</t>
  </si>
  <si>
    <t>run</t>
  </si>
  <si>
    <t>fork_length</t>
  </si>
  <si>
    <t>age_class</t>
  </si>
  <si>
    <t>petro_no</t>
  </si>
  <si>
    <t>YR19001</t>
  </si>
  <si>
    <t>ISO</t>
  </si>
  <si>
    <t>Hallwood Blvd</t>
  </si>
  <si>
    <t>yuba river</t>
  </si>
  <si>
    <t>fall</t>
  </si>
  <si>
    <t>juvenile</t>
  </si>
  <si>
    <t>DMDF12</t>
  </si>
  <si>
    <t>YR19002</t>
  </si>
  <si>
    <t>DMDO17</t>
  </si>
  <si>
    <t>YR19003</t>
  </si>
  <si>
    <t>DMDH01</t>
  </si>
  <si>
    <t>YR19004</t>
  </si>
  <si>
    <t>DMDF22</t>
  </si>
  <si>
    <t>YR19005</t>
  </si>
  <si>
    <t>DMDJ22</t>
  </si>
  <si>
    <t>YR19006</t>
  </si>
  <si>
    <t>DMDD11</t>
  </si>
  <si>
    <t>YR19007</t>
  </si>
  <si>
    <t>DMDL14</t>
  </si>
  <si>
    <t>YR19008</t>
  </si>
  <si>
    <t>DMDE01</t>
  </si>
  <si>
    <t>YR19009</t>
  </si>
  <si>
    <t>DMDH20</t>
  </si>
  <si>
    <t>YR19010</t>
  </si>
  <si>
    <t>DMDL23</t>
  </si>
  <si>
    <t>YR20380</t>
  </si>
  <si>
    <t>Lower Yuba River</t>
  </si>
  <si>
    <t>YRS1</t>
  </si>
  <si>
    <t>YR20383</t>
  </si>
  <si>
    <t>YRS2</t>
  </si>
  <si>
    <t>YR20385</t>
  </si>
  <si>
    <t>YRS3</t>
  </si>
  <si>
    <t>YR20387</t>
  </si>
  <si>
    <t>YRU5</t>
  </si>
  <si>
    <t>YR20392</t>
  </si>
  <si>
    <t>YRS5</t>
  </si>
  <si>
    <t>YR20396</t>
  </si>
  <si>
    <t>YRT1</t>
  </si>
  <si>
    <t>YR20403</t>
  </si>
  <si>
    <t>YRT2</t>
  </si>
  <si>
    <t>YR20406</t>
  </si>
  <si>
    <t>YRT3</t>
  </si>
  <si>
    <t>YR20409</t>
  </si>
  <si>
    <t>YRT4</t>
  </si>
  <si>
    <t>YR20412</t>
  </si>
  <si>
    <t>YRT5</t>
  </si>
  <si>
    <t>YR20596</t>
  </si>
  <si>
    <t>YRU1</t>
  </si>
  <si>
    <t>YR20600</t>
  </si>
  <si>
    <t>YRU2</t>
  </si>
  <si>
    <t>YR20603</t>
  </si>
  <si>
    <t>YRU3</t>
  </si>
  <si>
    <t>YR20607</t>
  </si>
  <si>
    <t>YRU4</t>
  </si>
  <si>
    <t>YR20609</t>
  </si>
  <si>
    <t>YRS4</t>
  </si>
  <si>
    <t>YR20613</t>
  </si>
  <si>
    <t>YRV1</t>
  </si>
  <si>
    <t>YR20616</t>
  </si>
  <si>
    <t>YRV2</t>
  </si>
  <si>
    <t>YR20619</t>
  </si>
  <si>
    <t>YRV3</t>
  </si>
  <si>
    <t>YR20624</t>
  </si>
  <si>
    <t>YRV4</t>
  </si>
  <si>
    <t>YR20626</t>
  </si>
  <si>
    <t>YRV5</t>
  </si>
  <si>
    <t>AL040814-1</t>
  </si>
  <si>
    <t>Coleman Hatchery</t>
  </si>
  <si>
    <t>battle creek</t>
  </si>
  <si>
    <t>IJC8</t>
  </si>
  <si>
    <t>AL040814-2</t>
  </si>
  <si>
    <t>IJC15</t>
  </si>
  <si>
    <t>AL040814-3</t>
  </si>
  <si>
    <t>IJD16</t>
  </si>
  <si>
    <t>AL041514-1</t>
  </si>
  <si>
    <t>IJD11</t>
  </si>
  <si>
    <t>AL041514-2</t>
  </si>
  <si>
    <t>IJC6</t>
  </si>
  <si>
    <t>CNH00154</t>
  </si>
  <si>
    <t>CNHA1</t>
  </si>
  <si>
    <t>CNH00165</t>
  </si>
  <si>
    <t>CNHA3</t>
  </si>
  <si>
    <t>CNH00185</t>
  </si>
  <si>
    <t>CNHA2</t>
  </si>
  <si>
    <t>CNH00265</t>
  </si>
  <si>
    <t>CNHA4</t>
  </si>
  <si>
    <t>CNH00275</t>
  </si>
  <si>
    <t>CNHA5</t>
  </si>
  <si>
    <t>CNH19001</t>
  </si>
  <si>
    <t>IJP01</t>
  </si>
  <si>
    <t>CNH19003</t>
  </si>
  <si>
    <t>IJP03</t>
  </si>
  <si>
    <t>CNH19005</t>
  </si>
  <si>
    <t>IJP04</t>
  </si>
  <si>
    <t>CNH19006</t>
  </si>
  <si>
    <t>IJP05</t>
  </si>
  <si>
    <t>CNH19007</t>
  </si>
  <si>
    <t>IJP06</t>
  </si>
  <si>
    <t>CNH19011</t>
  </si>
  <si>
    <t>IJP07</t>
  </si>
  <si>
    <t>CNH19012</t>
  </si>
  <si>
    <t>IJP08</t>
  </si>
  <si>
    <t>CNH19013</t>
  </si>
  <si>
    <t>IJP09</t>
  </si>
  <si>
    <t>CNH19014</t>
  </si>
  <si>
    <t>IJP10</t>
  </si>
  <si>
    <t>CNH2015-2</t>
  </si>
  <si>
    <t>IJC1</t>
  </si>
  <si>
    <t>CNH2015-4</t>
  </si>
  <si>
    <t>IJC14</t>
  </si>
  <si>
    <t>CNH2015-5</t>
  </si>
  <si>
    <t>IJD12</t>
  </si>
  <si>
    <t>CNH2015-6</t>
  </si>
  <si>
    <t>IJC19</t>
  </si>
  <si>
    <t>CNH2015-7</t>
  </si>
  <si>
    <t>IJD20</t>
  </si>
  <si>
    <t>EE18_31420</t>
  </si>
  <si>
    <t>adult</t>
  </si>
  <si>
    <t>TEAI1</t>
  </si>
  <si>
    <t>EE18_31342</t>
  </si>
  <si>
    <t>TEAI4</t>
  </si>
  <si>
    <t>EE18_31544</t>
  </si>
  <si>
    <t>TEAI5</t>
  </si>
  <si>
    <t>EE18_31571</t>
  </si>
  <si>
    <t>TEAI2</t>
  </si>
  <si>
    <t>EE18_31613</t>
  </si>
  <si>
    <t>TEAI6</t>
  </si>
  <si>
    <t>EE18_31620</t>
  </si>
  <si>
    <t>TEAI3</t>
  </si>
  <si>
    <t>EE18_31624</t>
  </si>
  <si>
    <t>CNHA6</t>
  </si>
  <si>
    <t>ISO_127_14_1</t>
  </si>
  <si>
    <t>TEAH17</t>
  </si>
  <si>
    <t>ISO_127_14_2</t>
  </si>
  <si>
    <t>TEAH16</t>
  </si>
  <si>
    <t>ISO_14_040_01</t>
  </si>
  <si>
    <t>TEAH01</t>
  </si>
  <si>
    <t>ISO_14_040_02</t>
  </si>
  <si>
    <t>TEAH02</t>
  </si>
  <si>
    <t>ISO_14_040_03</t>
  </si>
  <si>
    <t>TEAH03</t>
  </si>
  <si>
    <t>ISO_14_040_04</t>
  </si>
  <si>
    <t>TEAH04</t>
  </si>
  <si>
    <t>ISO_14_040_05</t>
  </si>
  <si>
    <t>TEAH05</t>
  </si>
  <si>
    <t>ISO_14_040_10</t>
  </si>
  <si>
    <t>TEAH10</t>
  </si>
  <si>
    <t>ISO_14_040_11</t>
  </si>
  <si>
    <t>TEAH11</t>
  </si>
  <si>
    <t>ISO_14_040_12</t>
  </si>
  <si>
    <t>TEAH12</t>
  </si>
  <si>
    <t>ISO_14_040_13</t>
  </si>
  <si>
    <t>TEAH13</t>
  </si>
  <si>
    <t>ISO_14_040_14</t>
  </si>
  <si>
    <t>TEAH14</t>
  </si>
  <si>
    <t>ISO_14_040_6</t>
  </si>
  <si>
    <t>TEAH06</t>
  </si>
  <si>
    <t>ISO_14_040_7</t>
  </si>
  <si>
    <t>TEAH07</t>
  </si>
  <si>
    <t>ISO_14_040_8</t>
  </si>
  <si>
    <t>TEAH08</t>
  </si>
  <si>
    <t>ISO_14_040_9</t>
  </si>
  <si>
    <t>TEAH19</t>
  </si>
  <si>
    <t>ISO_14_15</t>
  </si>
  <si>
    <t>TEAH20</t>
  </si>
  <si>
    <t>ISO_55188</t>
  </si>
  <si>
    <t>TEAH09</t>
  </si>
  <si>
    <t>ISO_55226</t>
  </si>
  <si>
    <t>TEAH18</t>
  </si>
  <si>
    <t>SC_07_50003E</t>
  </si>
  <si>
    <t>Battle Creek</t>
  </si>
  <si>
    <t>TEAF1</t>
  </si>
  <si>
    <t>SC_07_50010E</t>
  </si>
  <si>
    <t>TEAF2</t>
  </si>
  <si>
    <t>SC_05_50006E</t>
  </si>
  <si>
    <t>TEAF3</t>
  </si>
  <si>
    <t>SC_07_50027E</t>
  </si>
  <si>
    <t>TEAF4</t>
  </si>
  <si>
    <t>SC_12_50004E</t>
  </si>
  <si>
    <t>TSCBQ3</t>
  </si>
  <si>
    <t>SC_12_50005E</t>
  </si>
  <si>
    <t>TSCBQ4</t>
  </si>
  <si>
    <t>SC_12_50006E</t>
  </si>
  <si>
    <t>TSCBQ5</t>
  </si>
  <si>
    <t>SC_12_50007E</t>
  </si>
  <si>
    <t>TSCBQ6</t>
  </si>
  <si>
    <t>SC_12_50008E</t>
  </si>
  <si>
    <t>TSCBR1</t>
  </si>
  <si>
    <t>SC_12_50009E</t>
  </si>
  <si>
    <t>TSCBR2</t>
  </si>
  <si>
    <t>SC_12_50012E</t>
  </si>
  <si>
    <t>TSCBR3</t>
  </si>
  <si>
    <t>SC_12_50013E</t>
  </si>
  <si>
    <t>TSCBR4</t>
  </si>
  <si>
    <t>SC_12_50014E</t>
  </si>
  <si>
    <t>TSCBR5</t>
  </si>
  <si>
    <t>SC_12_50015E</t>
  </si>
  <si>
    <t>TSCBR6</t>
  </si>
  <si>
    <t>SC_12_50017E</t>
  </si>
  <si>
    <t>TSCBS1</t>
  </si>
  <si>
    <t>SC_12_50018E</t>
  </si>
  <si>
    <t>TSCBS2</t>
  </si>
  <si>
    <t>SC_12_50019E</t>
  </si>
  <si>
    <t>TSCBS3</t>
  </si>
  <si>
    <t>SC_12_50020E</t>
  </si>
  <si>
    <t>TSCBS4</t>
  </si>
  <si>
    <t>SC_12_50021E</t>
  </si>
  <si>
    <t>TSCBS5</t>
  </si>
  <si>
    <t>SC_12_50022E</t>
  </si>
  <si>
    <t>TSCBS6</t>
  </si>
  <si>
    <t>SC_12_50023E</t>
  </si>
  <si>
    <t>TSCBT1</t>
  </si>
  <si>
    <t>SC_12_50024E</t>
  </si>
  <si>
    <t>TSCBT2</t>
  </si>
  <si>
    <t>SC_12_50025E</t>
  </si>
  <si>
    <t>TSCBT3</t>
  </si>
  <si>
    <t>SC_12_50026E</t>
  </si>
  <si>
    <t>TSCBT4</t>
  </si>
  <si>
    <t>SC_12_50027E</t>
  </si>
  <si>
    <t>TSCBT5</t>
  </si>
  <si>
    <t>SC_12_50028E</t>
  </si>
  <si>
    <t>TSCBT6</t>
  </si>
  <si>
    <t>SC_12_50029E</t>
  </si>
  <si>
    <t>TSCBU1</t>
  </si>
  <si>
    <t>SC_12_50030E</t>
  </si>
  <si>
    <t>TSCBU2</t>
  </si>
  <si>
    <t>SC_12_50031E</t>
  </si>
  <si>
    <t>TSCBU3</t>
  </si>
  <si>
    <t>SC_12_50032E</t>
  </si>
  <si>
    <t>TSCBU4</t>
  </si>
  <si>
    <t>SC_12_50033E</t>
  </si>
  <si>
    <t>TSCBU5</t>
  </si>
  <si>
    <t>SC_12_50034E</t>
  </si>
  <si>
    <t>TSCBU6</t>
  </si>
  <si>
    <t>SC_12_50036E</t>
  </si>
  <si>
    <t>TSCBV1</t>
  </si>
  <si>
    <t>SC_12_50037E</t>
  </si>
  <si>
    <t>TSCBV2</t>
  </si>
  <si>
    <t>SC_12_50038E</t>
  </si>
  <si>
    <t>TSCBV3</t>
  </si>
  <si>
    <t>SC_12_50039E</t>
  </si>
  <si>
    <t>TSCBV4</t>
  </si>
  <si>
    <t>SC_12_50040E</t>
  </si>
  <si>
    <t>TSCBV5</t>
  </si>
  <si>
    <t>SC_12_50041E</t>
  </si>
  <si>
    <t>TSCBV6</t>
  </si>
  <si>
    <t>SC_12_50042E</t>
  </si>
  <si>
    <t>TSCBW1</t>
  </si>
  <si>
    <t>SC_12_50043E</t>
  </si>
  <si>
    <t>TSCBW2</t>
  </si>
  <si>
    <t>SC_12_50044E</t>
  </si>
  <si>
    <t>TSCBW3</t>
  </si>
  <si>
    <t>SC_12_50045E</t>
  </si>
  <si>
    <t>TSCBW4</t>
  </si>
  <si>
    <t>SC_12_50046E</t>
  </si>
  <si>
    <t>TSCBW5</t>
  </si>
  <si>
    <t>SC_12_50047E</t>
  </si>
  <si>
    <t>TSCBW6</t>
  </si>
  <si>
    <t>SC_12_50049E</t>
  </si>
  <si>
    <t>TSCBX1</t>
  </si>
  <si>
    <t>SC_12_50051E</t>
  </si>
  <si>
    <t>TSCBX2</t>
  </si>
  <si>
    <t>SC_12_50052E</t>
  </si>
  <si>
    <t>TSCBX3</t>
  </si>
  <si>
    <t>SC_12_50053E</t>
  </si>
  <si>
    <t>TSCBX4</t>
  </si>
  <si>
    <t>SC_12_50054E</t>
  </si>
  <si>
    <t>TSCBX5</t>
  </si>
  <si>
    <t>SC_12_50055E</t>
  </si>
  <si>
    <t>TSCBX6</t>
  </si>
  <si>
    <t>SC_12_50056E</t>
  </si>
  <si>
    <t>TSCBY1</t>
  </si>
  <si>
    <t>SC_12_50057E</t>
  </si>
  <si>
    <t>TSCBY2</t>
  </si>
  <si>
    <t>SC_12_50058E</t>
  </si>
  <si>
    <t>TSCBY3</t>
  </si>
  <si>
    <t>SC_12_50059E</t>
  </si>
  <si>
    <t>TSCBY4</t>
  </si>
  <si>
    <t>SC_12_50060E</t>
  </si>
  <si>
    <t>TSCBY5</t>
  </si>
  <si>
    <t>SC_12_50064E</t>
  </si>
  <si>
    <t>TSCBY6</t>
  </si>
  <si>
    <t>SC_12_50065E</t>
  </si>
  <si>
    <t>TSCBZ1</t>
  </si>
  <si>
    <t>SC_12_50066E</t>
  </si>
  <si>
    <t>TSCBZ2</t>
  </si>
  <si>
    <t>SC_12_50067E</t>
  </si>
  <si>
    <t>TSCBZ3</t>
  </si>
  <si>
    <t>SC_12_50068E</t>
  </si>
  <si>
    <t>TSCBZ4</t>
  </si>
  <si>
    <t>SC_12_50071E</t>
  </si>
  <si>
    <t>TSCBZ5</t>
  </si>
  <si>
    <t>SC_12_50072E</t>
  </si>
  <si>
    <t>TSCBZ6</t>
  </si>
  <si>
    <t>SC_16_50000E</t>
  </si>
  <si>
    <t>TSCCR6</t>
  </si>
  <si>
    <t>SC_18_50000E</t>
  </si>
  <si>
    <t>TSCCS1</t>
  </si>
  <si>
    <t>SC_18_50004E</t>
  </si>
  <si>
    <t>TSCCS2</t>
  </si>
  <si>
    <t>SC_18_50006E</t>
  </si>
  <si>
    <t>TSCCS3</t>
  </si>
  <si>
    <t>SC_18_50005E</t>
  </si>
  <si>
    <t>TSCCS4</t>
  </si>
  <si>
    <t>SC_19_50022E</t>
  </si>
  <si>
    <t>TSCCS5</t>
  </si>
  <si>
    <t>SC_19_50021E</t>
  </si>
  <si>
    <t>TSCCS6</t>
  </si>
  <si>
    <t>SC_20_50000E</t>
  </si>
  <si>
    <t>TSCCT1</t>
  </si>
  <si>
    <t>SC_21_50001E</t>
  </si>
  <si>
    <t>TSCCT2</t>
  </si>
  <si>
    <t>SC_21_50002E</t>
  </si>
  <si>
    <t>TSCCT3</t>
  </si>
  <si>
    <t>SC_21_50003E</t>
  </si>
  <si>
    <t>TSCCT4</t>
  </si>
  <si>
    <t>SC_21_50004E</t>
  </si>
  <si>
    <t>TSCCT5</t>
  </si>
  <si>
    <t>SC_21_50005E</t>
  </si>
  <si>
    <t>TSCCT6</t>
  </si>
  <si>
    <t>SC_21_50006E</t>
  </si>
  <si>
    <t>TSCCU1</t>
  </si>
  <si>
    <t>SC_21_50007E</t>
  </si>
  <si>
    <t>TSCCU2</t>
  </si>
  <si>
    <t>SC_21_50009E</t>
  </si>
  <si>
    <t>TSCCU3</t>
  </si>
  <si>
    <t>SC_21_50010E</t>
  </si>
  <si>
    <t>TSCCU4</t>
  </si>
  <si>
    <t>SC_21_50011E</t>
  </si>
  <si>
    <t>TSCCU5</t>
  </si>
  <si>
    <t>SC_21_50012E</t>
  </si>
  <si>
    <t>TSCCU6</t>
  </si>
  <si>
    <t>SC_21_50015E</t>
  </si>
  <si>
    <t>TSCCV1</t>
  </si>
  <si>
    <t>SC_21_50016E</t>
  </si>
  <si>
    <t>TSCCV2</t>
  </si>
  <si>
    <t>SC_21_50021E</t>
  </si>
  <si>
    <t>TSCCV3</t>
  </si>
  <si>
    <t>SC_21_50023E</t>
  </si>
  <si>
    <t>TSCCV4</t>
  </si>
  <si>
    <t>SC_21_50028E</t>
  </si>
  <si>
    <t>TSCCV5</t>
  </si>
  <si>
    <t>SC_21_51076E</t>
  </si>
  <si>
    <t>TSCCV6</t>
  </si>
  <si>
    <t>SC_21_51077E</t>
  </si>
  <si>
    <t>TSCCW1</t>
  </si>
  <si>
    <t>SC_13_50005E</t>
  </si>
  <si>
    <t>TSCCW2</t>
  </si>
  <si>
    <t>SC_13_50006E</t>
  </si>
  <si>
    <t>TSCCW3</t>
  </si>
  <si>
    <t>SC_13_50008E</t>
  </si>
  <si>
    <t>TSCCW4</t>
  </si>
  <si>
    <t>SC_13_50009E</t>
  </si>
  <si>
    <t>TSCCW5</t>
  </si>
  <si>
    <t>SC_13_50010E</t>
  </si>
  <si>
    <t>TSCCW6</t>
  </si>
  <si>
    <t>SC_13_50011E</t>
  </si>
  <si>
    <t>TSCCX1</t>
  </si>
  <si>
    <t>SC_13_50012E</t>
  </si>
  <si>
    <t>TSCCX2</t>
  </si>
  <si>
    <t>SC_13_50013E</t>
  </si>
  <si>
    <t>TSCCX3</t>
  </si>
  <si>
    <t>SC_13_50016E</t>
  </si>
  <si>
    <t>TSCCX4</t>
  </si>
  <si>
    <t>SC_13_50018E</t>
  </si>
  <si>
    <t>TSCCX5</t>
  </si>
  <si>
    <t>SC_13_50019E</t>
  </si>
  <si>
    <t>TSCCX6</t>
  </si>
  <si>
    <t>SC_13_50020E</t>
  </si>
  <si>
    <t>TSCCY1</t>
  </si>
  <si>
    <t>SC_13_50021E</t>
  </si>
  <si>
    <t>TSCCY2</t>
  </si>
  <si>
    <t>SC_13_50022E</t>
  </si>
  <si>
    <t>TSCCY3</t>
  </si>
  <si>
    <t>SC_13_50023E</t>
  </si>
  <si>
    <t>TSCCY4</t>
  </si>
  <si>
    <t>SC_13_50037E</t>
  </si>
  <si>
    <t>TSCCY5</t>
  </si>
  <si>
    <t>SC_13_50039E</t>
  </si>
  <si>
    <t>TSCCY6</t>
  </si>
  <si>
    <t>SC_13_50059E</t>
  </si>
  <si>
    <t>TSCCZ1</t>
  </si>
  <si>
    <t>SC_13_50066E</t>
  </si>
  <si>
    <t>TSCCZ2</t>
  </si>
  <si>
    <t>SC_13_50077E</t>
  </si>
  <si>
    <t>TSCCZ3</t>
  </si>
  <si>
    <t>SC_13_51007E</t>
  </si>
  <si>
    <t>TSCCZ4</t>
  </si>
  <si>
    <t>SC_13_51008E</t>
  </si>
  <si>
    <t>TSCCZ5</t>
  </si>
  <si>
    <t>SC_14_50004E</t>
  </si>
  <si>
    <t>TSCCZ6</t>
  </si>
  <si>
    <t>SC_12_50073E</t>
  </si>
  <si>
    <t>TSCDP2</t>
  </si>
  <si>
    <t>SC_12_50074E</t>
  </si>
  <si>
    <t>TSCDP3</t>
  </si>
  <si>
    <t>SC_12_50075E</t>
  </si>
  <si>
    <t>TSCDP4</t>
  </si>
  <si>
    <t>SC_12_50076E</t>
  </si>
  <si>
    <t>TSCDP5</t>
  </si>
  <si>
    <t>SC_12_50077E</t>
  </si>
  <si>
    <t>TSCDP6</t>
  </si>
  <si>
    <t>SC_12_50078E</t>
  </si>
  <si>
    <t>TSCDQ1</t>
  </si>
  <si>
    <t>SC_12_50079E</t>
  </si>
  <si>
    <t>TSCDQ2</t>
  </si>
  <si>
    <t>SC_12_50080E</t>
  </si>
  <si>
    <t>TSCDQ3</t>
  </si>
  <si>
    <t>SC_12_50081E</t>
  </si>
  <si>
    <t>TSCDQ4</t>
  </si>
  <si>
    <t>SC_12_50082E</t>
  </si>
  <si>
    <t>TSCDQ5</t>
  </si>
  <si>
    <t>SC_12_50083E</t>
  </si>
  <si>
    <t>TSCDQ6</t>
  </si>
  <si>
    <t>SC_12_50084E</t>
  </si>
  <si>
    <t>TSCDR1</t>
  </si>
  <si>
    <t>SC_12_50085E</t>
  </si>
  <si>
    <t>TSCDR2</t>
  </si>
  <si>
    <t>SC_12_50086E</t>
  </si>
  <si>
    <t>TSCDR3</t>
  </si>
  <si>
    <t>SC_12_50087E</t>
  </si>
  <si>
    <t>TSCDR4</t>
  </si>
  <si>
    <t>SC_12_50088E</t>
  </si>
  <si>
    <t>TSCDR5</t>
  </si>
  <si>
    <t>SC_12_50089E</t>
  </si>
  <si>
    <t>TSCDR6</t>
  </si>
  <si>
    <t>SC_12_50090E</t>
  </si>
  <si>
    <t>TSCDS1</t>
  </si>
  <si>
    <t>SC_12_50103E</t>
  </si>
  <si>
    <t>TSCDS2</t>
  </si>
  <si>
    <t>SC_12_50115E</t>
  </si>
  <si>
    <t>TSCDS3</t>
  </si>
  <si>
    <t>SC_12_50116E</t>
  </si>
  <si>
    <t>TSCDS4</t>
  </si>
  <si>
    <t>SC_12_50117E</t>
  </si>
  <si>
    <t>TSCDS5</t>
  </si>
  <si>
    <t>SC_09_50012E</t>
  </si>
  <si>
    <t>TSCDS6</t>
  </si>
  <si>
    <t>SC_09_51009E</t>
  </si>
  <si>
    <t>TSCDT1</t>
  </si>
  <si>
    <t>SC_10_50009E</t>
  </si>
  <si>
    <t>TSCDT2</t>
  </si>
  <si>
    <t>SC_10_50068E</t>
  </si>
  <si>
    <t>TSCDT3</t>
  </si>
  <si>
    <t>SC_11_50017E</t>
  </si>
  <si>
    <t>TSCDT4</t>
  </si>
  <si>
    <t>SC_09_50011E</t>
  </si>
  <si>
    <t>TSCDT5</t>
  </si>
  <si>
    <t>SC_09_50024E</t>
  </si>
  <si>
    <t>TSCDT6</t>
  </si>
  <si>
    <t>SC_10_50008E</t>
  </si>
  <si>
    <t>TSCDU1</t>
  </si>
  <si>
    <t>SC_10_50055E</t>
  </si>
  <si>
    <t>TSCDU2</t>
  </si>
  <si>
    <t>SC_10_50066E</t>
  </si>
  <si>
    <t>TSCDU3</t>
  </si>
  <si>
    <t>SC_11_50015E</t>
  </si>
  <si>
    <t>TSCDU4</t>
  </si>
  <si>
    <t>SC_09_50009E</t>
  </si>
  <si>
    <t>TSCDU5</t>
  </si>
  <si>
    <t>SC_09_50023E</t>
  </si>
  <si>
    <t>TSCDU6</t>
  </si>
  <si>
    <t>SC_10_50007E</t>
  </si>
  <si>
    <t>TSCDV1</t>
  </si>
  <si>
    <t>SC_10_50054E</t>
  </si>
  <si>
    <t>TSCDV2</t>
  </si>
  <si>
    <t>SC_10_50065E</t>
  </si>
  <si>
    <t>TSCDV3</t>
  </si>
  <si>
    <t>SC_11_50014E</t>
  </si>
  <si>
    <t>TSCDV4</t>
  </si>
  <si>
    <t>SC_09_50008E</t>
  </si>
  <si>
    <t>TSCDV5</t>
  </si>
  <si>
    <t>SC_09_50022E</t>
  </si>
  <si>
    <t>TSCDV6</t>
  </si>
  <si>
    <t>SC_10_50006E</t>
  </si>
  <si>
    <t>TSCDW1</t>
  </si>
  <si>
    <t>SC_10_50052E</t>
  </si>
  <si>
    <t>TSCDW2</t>
  </si>
  <si>
    <t>SC_10_50063E</t>
  </si>
  <si>
    <t>TSCDW3</t>
  </si>
  <si>
    <t>SC_11_50013E</t>
  </si>
  <si>
    <t>TSCDW4</t>
  </si>
  <si>
    <t>SC_09_50007E</t>
  </si>
  <si>
    <t>TSCDW5</t>
  </si>
  <si>
    <t>SC_09_50021E</t>
  </si>
  <si>
    <t>TSCDW6</t>
  </si>
  <si>
    <t>SC_10_50005E</t>
  </si>
  <si>
    <t>TSCDX1</t>
  </si>
  <si>
    <t>SC_10_50050E</t>
  </si>
  <si>
    <t>TSCDX2</t>
  </si>
  <si>
    <t>SC_10_50061E</t>
  </si>
  <si>
    <t>TSCDX3</t>
  </si>
  <si>
    <t>SC_11_50012E</t>
  </si>
  <si>
    <t>TSCDX4</t>
  </si>
  <si>
    <t>SC_08_50017E</t>
  </si>
  <si>
    <t>TSCDX5</t>
  </si>
  <si>
    <t>SC_09_50006E</t>
  </si>
  <si>
    <t>TSCDX6</t>
  </si>
  <si>
    <t>SC_09_50017E</t>
  </si>
  <si>
    <t>TSCDY1</t>
  </si>
  <si>
    <t>SC_10_50004E</t>
  </si>
  <si>
    <t>TSCDY2</t>
  </si>
  <si>
    <t>SC_10_50014E</t>
  </si>
  <si>
    <t>TSCDY3</t>
  </si>
  <si>
    <t>SC_10_50060E</t>
  </si>
  <si>
    <t>TSCDY4</t>
  </si>
  <si>
    <t>SC_11_50011E</t>
  </si>
  <si>
    <t>TSCDY5</t>
  </si>
  <si>
    <t>SC_07_50058E</t>
  </si>
  <si>
    <t>TSCDY6</t>
  </si>
  <si>
    <t>SC_09_50005E</t>
  </si>
  <si>
    <t>TSCDZ1</t>
  </si>
  <si>
    <t>SC_08_50016E</t>
  </si>
  <si>
    <t>TSCDZ2</t>
  </si>
  <si>
    <t>SC_09_50016E</t>
  </si>
  <si>
    <t>TSCDZ3</t>
  </si>
  <si>
    <t>SC_10_50003E</t>
  </si>
  <si>
    <t>TSCDZ4</t>
  </si>
  <si>
    <t>SC_10_50013E</t>
  </si>
  <si>
    <t>TSCDZ5</t>
  </si>
  <si>
    <t>SC_10_50059E</t>
  </si>
  <si>
    <t>TSCDZ6</t>
  </si>
  <si>
    <t>SC_14_50005E</t>
  </si>
  <si>
    <t>TSCEA1</t>
  </si>
  <si>
    <t>SC_14_50006E</t>
  </si>
  <si>
    <t>TSCEA2</t>
  </si>
  <si>
    <t>SC_14_50007E</t>
  </si>
  <si>
    <t>TSCEA3</t>
  </si>
  <si>
    <t>SC_14_50008E</t>
  </si>
  <si>
    <t>TSCEA4</t>
  </si>
  <si>
    <t>SC_14_50009E</t>
  </si>
  <si>
    <t>TSCEA5</t>
  </si>
  <si>
    <t>SC_14_50023E</t>
  </si>
  <si>
    <t>TSCEA6</t>
  </si>
  <si>
    <t>SC_14_50024E</t>
  </si>
  <si>
    <t>TSCEB1</t>
  </si>
  <si>
    <t>SC_14_50025E</t>
  </si>
  <si>
    <t>TSCEB2</t>
  </si>
  <si>
    <t>SC_14_50027E</t>
  </si>
  <si>
    <t>TSCEB3</t>
  </si>
  <si>
    <t>SC_14_50029E</t>
  </si>
  <si>
    <t>TSCEB4</t>
  </si>
  <si>
    <t>SC_14_50032E</t>
  </si>
  <si>
    <t>TSCEB5</t>
  </si>
  <si>
    <t>SC_14_50033E</t>
  </si>
  <si>
    <t>TSCEB6</t>
  </si>
  <si>
    <t>SC_14_50034E</t>
  </si>
  <si>
    <t>TSCEC1</t>
  </si>
  <si>
    <t>SC_14_50038E</t>
  </si>
  <si>
    <t>TSCEC2</t>
  </si>
  <si>
    <t>SC_14_50039E</t>
  </si>
  <si>
    <t>TSCEC3</t>
  </si>
  <si>
    <t>SC_14_50040E</t>
  </si>
  <si>
    <t>TSCEC4</t>
  </si>
  <si>
    <t>SC_14_50041E</t>
  </si>
  <si>
    <t>TSCEC5</t>
  </si>
  <si>
    <t>SC_14_50043E</t>
  </si>
  <si>
    <t>TSCEC6</t>
  </si>
  <si>
    <t>SC_15_50004E</t>
  </si>
  <si>
    <t>TSCED1</t>
  </si>
  <si>
    <t>SC_15_50000E</t>
  </si>
  <si>
    <t>TSCED2</t>
  </si>
  <si>
    <t>SC_15_50010E</t>
  </si>
  <si>
    <t>TSCED3</t>
  </si>
  <si>
    <t>SC_05_50022E</t>
  </si>
  <si>
    <t>TSCEE1</t>
  </si>
  <si>
    <t>SC_05_50017E</t>
  </si>
  <si>
    <t>TSCEE2</t>
  </si>
  <si>
    <t>SC_05_50015E</t>
  </si>
  <si>
    <t>TSCEE3</t>
  </si>
  <si>
    <t>SC_05_50007E</t>
  </si>
  <si>
    <t>TSCEE4</t>
  </si>
  <si>
    <t>SC_06_50023E</t>
  </si>
  <si>
    <t>TSCEE5</t>
  </si>
  <si>
    <t>SC_06_50020E</t>
  </si>
  <si>
    <t>TSCEF1</t>
  </si>
  <si>
    <t>SC_06_50019E</t>
  </si>
  <si>
    <t>TSCEF2</t>
  </si>
  <si>
    <t>SC_06_50018E</t>
  </si>
  <si>
    <t>TSCEF3</t>
  </si>
  <si>
    <t>SC_06_50017E</t>
  </si>
  <si>
    <t>TSCEF4</t>
  </si>
  <si>
    <t>SC_06_50015E</t>
  </si>
  <si>
    <t>TSCEF5</t>
  </si>
  <si>
    <t>SC_06_50016E</t>
  </si>
  <si>
    <t>TSCEF6</t>
  </si>
  <si>
    <t>SC_06_50012E</t>
  </si>
  <si>
    <t>TSCEG1</t>
  </si>
  <si>
    <t>SC_06_50024E</t>
  </si>
  <si>
    <t>TSCEG2</t>
  </si>
  <si>
    <t>SC_06_50025E</t>
  </si>
  <si>
    <t>TSCEG3</t>
  </si>
  <si>
    <t>SC_06_50026E</t>
  </si>
  <si>
    <t>TSCEG4</t>
  </si>
  <si>
    <t>SC_06_50027E</t>
  </si>
  <si>
    <t>TSCEG5</t>
  </si>
  <si>
    <t>SC_06_50028E</t>
  </si>
  <si>
    <t>TSCEG6</t>
  </si>
  <si>
    <t>SC_06_50029E</t>
  </si>
  <si>
    <t>TSCEH1</t>
  </si>
  <si>
    <t>SC_06_50030E</t>
  </si>
  <si>
    <t>TSCEH2</t>
  </si>
  <si>
    <t>SC_06_50031E</t>
  </si>
  <si>
    <t>TSCEH3</t>
  </si>
  <si>
    <t>SC_06_50032E</t>
  </si>
  <si>
    <t>TSCEH4</t>
  </si>
  <si>
    <t>SC_06_50033E</t>
  </si>
  <si>
    <t>TSCEH5</t>
  </si>
  <si>
    <t>SC_06_50034E</t>
  </si>
  <si>
    <t>TSCEH6</t>
  </si>
  <si>
    <t>SC_06_50035E</t>
  </si>
  <si>
    <t>TSCEI1</t>
  </si>
  <si>
    <t>SC_06_50036E</t>
  </si>
  <si>
    <t>TSCEI2</t>
  </si>
  <si>
    <t>SC_06_50037E</t>
  </si>
  <si>
    <t>TSCEI3</t>
  </si>
  <si>
    <t>SC_06_50040E</t>
  </si>
  <si>
    <t>TSCEI4</t>
  </si>
  <si>
    <t>SC_06_50042E</t>
  </si>
  <si>
    <t>TSCEI5</t>
  </si>
  <si>
    <t>SC_06_50044E</t>
  </si>
  <si>
    <t>TSCEI6</t>
  </si>
  <si>
    <t>SC_06_50045E</t>
  </si>
  <si>
    <t>TSCEJ1</t>
  </si>
  <si>
    <t>SC_06_50046E</t>
  </si>
  <si>
    <t>TSCEJ2</t>
  </si>
  <si>
    <t>SC_06_50047E</t>
  </si>
  <si>
    <t>TSCEJ3</t>
  </si>
  <si>
    <t>SC_06_50048E</t>
  </si>
  <si>
    <t>TSCEJ4</t>
  </si>
  <si>
    <t>SC_06_50051E</t>
  </si>
  <si>
    <t>TSCEJ5</t>
  </si>
  <si>
    <t>SC_06_50052E</t>
  </si>
  <si>
    <t>TSCEJ6</t>
  </si>
  <si>
    <t>SC_06_50053E</t>
  </si>
  <si>
    <t>TSCEK1</t>
  </si>
  <si>
    <t>SC_06_50054E</t>
  </si>
  <si>
    <t>TSCEK2</t>
  </si>
  <si>
    <t>SC_06_50100E</t>
  </si>
  <si>
    <t>TSCEK3</t>
  </si>
  <si>
    <t>SC_06_50101E</t>
  </si>
  <si>
    <t>TSCEK4</t>
  </si>
  <si>
    <t>SC_06_50102E</t>
  </si>
  <si>
    <t>TSCEK5</t>
  </si>
  <si>
    <t>SC_06_50103E</t>
  </si>
  <si>
    <t>TSCEK6</t>
  </si>
  <si>
    <t>SC_07_50005E</t>
  </si>
  <si>
    <t>TSCEL2</t>
  </si>
  <si>
    <t>SC_07_50006E</t>
  </si>
  <si>
    <t>TSCEL3</t>
  </si>
  <si>
    <t>SC_07_50007E</t>
  </si>
  <si>
    <t>TSCEL4</t>
  </si>
  <si>
    <t>SC_07_50009E</t>
  </si>
  <si>
    <t>TSCEL5</t>
  </si>
  <si>
    <t>SC_07_50015E</t>
  </si>
  <si>
    <t>TSCEM1</t>
  </si>
  <si>
    <t>SC_07_50016E</t>
  </si>
  <si>
    <t>TSCEM2</t>
  </si>
  <si>
    <t>SC_07_50017E</t>
  </si>
  <si>
    <t>TSCEM3</t>
  </si>
  <si>
    <t>SC_07_50018E</t>
  </si>
  <si>
    <t>TSCEM4</t>
  </si>
  <si>
    <t>SC_07_50019E</t>
  </si>
  <si>
    <t>TSCEM5</t>
  </si>
  <si>
    <t>SC_07_50020E</t>
  </si>
  <si>
    <t>TSCEM6</t>
  </si>
  <si>
    <t>SC_07_50021E</t>
  </si>
  <si>
    <t>TSCEN1</t>
  </si>
  <si>
    <t>SC_07_50022E</t>
  </si>
  <si>
    <t>TSCEN2</t>
  </si>
  <si>
    <t>SC_07_50024E</t>
  </si>
  <si>
    <t>TSCEN3</t>
  </si>
  <si>
    <t>SC_07_50025E</t>
  </si>
  <si>
    <t>TSCEN4</t>
  </si>
  <si>
    <t>SC_07_50026E</t>
  </si>
  <si>
    <t>TSCEN5</t>
  </si>
  <si>
    <t>SC_07_50028E</t>
  </si>
  <si>
    <t>TSCEO1</t>
  </si>
  <si>
    <t>SC_07_50031E</t>
  </si>
  <si>
    <t>TSCEO2</t>
  </si>
  <si>
    <t>SC_07_50032E</t>
  </si>
  <si>
    <t>TSCEO3</t>
  </si>
  <si>
    <t>SC_07_50033E</t>
  </si>
  <si>
    <t>TSCEO4</t>
  </si>
  <si>
    <t>SC_07_50034E</t>
  </si>
  <si>
    <t>TSCEO5</t>
  </si>
  <si>
    <t>SC_07_50040E</t>
  </si>
  <si>
    <t>TSCEO6</t>
  </si>
  <si>
    <t>SC_07_50041E</t>
  </si>
  <si>
    <t>TSCEP1</t>
  </si>
  <si>
    <t>SC_07_50042E</t>
  </si>
  <si>
    <t>TSCEP2</t>
  </si>
  <si>
    <t>SC_07_50043E</t>
  </si>
  <si>
    <t>TSCEP3</t>
  </si>
  <si>
    <t>SC_07_50044E</t>
  </si>
  <si>
    <t>TSCEP4</t>
  </si>
  <si>
    <t>SC_07_50046E</t>
  </si>
  <si>
    <t>TSCEP5</t>
  </si>
  <si>
    <t>SC_07_50047E</t>
  </si>
  <si>
    <t>TSCEP6</t>
  </si>
  <si>
    <t>SC_07_50048E</t>
  </si>
  <si>
    <t>TSCEQ1</t>
  </si>
  <si>
    <t>SC_07_50049E</t>
  </si>
  <si>
    <t>TSCEQ2</t>
  </si>
  <si>
    <t>SC_07_50050E</t>
  </si>
  <si>
    <t>TSCEQ3</t>
  </si>
  <si>
    <t>SC_07_50054E</t>
  </si>
  <si>
    <t>TSCEQ4</t>
  </si>
  <si>
    <t>SC_11_50004E</t>
  </si>
  <si>
    <t>TSCFA1</t>
  </si>
  <si>
    <t>SC_07_50057E</t>
  </si>
  <si>
    <t>TSCFA2</t>
  </si>
  <si>
    <t>SC_08_50007E</t>
  </si>
  <si>
    <t>TSCFA3</t>
  </si>
  <si>
    <t>SC_09_50004E</t>
  </si>
  <si>
    <t>TSCFA4</t>
  </si>
  <si>
    <t>SC_09_50015E</t>
  </si>
  <si>
    <t>TSCFA5</t>
  </si>
  <si>
    <t>SC_10_50002E</t>
  </si>
  <si>
    <t>TSCFA6</t>
  </si>
  <si>
    <t>SC_10_50012E</t>
  </si>
  <si>
    <t>TSCFB1</t>
  </si>
  <si>
    <t>SC_10_50058E</t>
  </si>
  <si>
    <t>TSCFB2</t>
  </si>
  <si>
    <t>SC_07_50056E</t>
  </si>
  <si>
    <t>TSCFB3</t>
  </si>
  <si>
    <t>SC_08_50006E</t>
  </si>
  <si>
    <t>TSCFB4</t>
  </si>
  <si>
    <t>SC_09_50003E</t>
  </si>
  <si>
    <t>TSCFB5</t>
  </si>
  <si>
    <t>SC_09_50014E</t>
  </si>
  <si>
    <t>TSCFB6</t>
  </si>
  <si>
    <t>SC_10_50000E</t>
  </si>
  <si>
    <t>TSCFC1</t>
  </si>
  <si>
    <t>SC_10_50057E</t>
  </si>
  <si>
    <t>TSCFC2</t>
  </si>
  <si>
    <t>SC_10_50071E</t>
  </si>
  <si>
    <t>TSCFC3</t>
  </si>
  <si>
    <t>SC_11_50000E</t>
  </si>
  <si>
    <t>TSCFC4</t>
  </si>
  <si>
    <t>SC_11_50019E</t>
  </si>
  <si>
    <t>TSCFC5</t>
  </si>
  <si>
    <t>SC_07_50055E</t>
  </si>
  <si>
    <t>TSCFC6</t>
  </si>
  <si>
    <t>SC_08_50005E</t>
  </si>
  <si>
    <t>TSCFD1</t>
  </si>
  <si>
    <t>SC_09_50001E</t>
  </si>
  <si>
    <t>TSCFD2</t>
  </si>
  <si>
    <t>SC_09_50013E</t>
  </si>
  <si>
    <t>TSCFD3</t>
  </si>
  <si>
    <t>SC_10_50010E</t>
  </si>
  <si>
    <t>TSCFD4</t>
  </si>
  <si>
    <t>SC_10_50069E</t>
  </si>
  <si>
    <t>TSCFD5</t>
  </si>
  <si>
    <t>SC_11_50018E</t>
  </si>
  <si>
    <t>TSCFD6</t>
  </si>
  <si>
    <t>SC_11_50003E</t>
  </si>
  <si>
    <t>TSCFE1</t>
  </si>
  <si>
    <t>SC_10_50011E</t>
  </si>
  <si>
    <t>TSCFE2</t>
  </si>
  <si>
    <t>notes</t>
  </si>
  <si>
    <t>no cwt#, might not be coleman</t>
  </si>
  <si>
    <t>Row Labels</t>
  </si>
  <si>
    <t>Grand Total</t>
  </si>
  <si>
    <t>Count</t>
  </si>
  <si>
    <t>BCS</t>
  </si>
  <si>
    <t>Column Labels</t>
  </si>
  <si>
    <t>(Multiple Items)</t>
  </si>
  <si>
    <t>x</t>
  </si>
  <si>
    <t>don’t run</t>
  </si>
  <si>
    <t>Overlapping sources that we want to prioritize for TE (plus 22 CNH) = BAT, SAC, BUT, MIL, DEE, CNH</t>
  </si>
  <si>
    <t xml:space="preserve">Methods: </t>
  </si>
  <si>
    <t>40x40</t>
  </si>
  <si>
    <t>5um/s</t>
  </si>
  <si>
    <t>10Hz</t>
  </si>
  <si>
    <t>Preablation settings??</t>
  </si>
  <si>
    <t>Mg24</t>
  </si>
  <si>
    <t>Ca43</t>
  </si>
  <si>
    <t>Ca44</t>
  </si>
  <si>
    <t>Mn55</t>
  </si>
  <si>
    <t>Zn66</t>
  </si>
  <si>
    <t>Sr88</t>
  </si>
  <si>
    <t>Ba137</t>
  </si>
  <si>
    <t>3 x BAT assigned fish (nice otos) do core to edge. Add to 3 of lucy's with nice otos that she doesn’t want to rpt analyse. Send to York. Thanks.</t>
  </si>
  <si>
    <t>Department of Archaeology</t>
  </si>
  <si>
    <t>University of York</t>
  </si>
  <si>
    <t>PalaeoHub</t>
  </si>
  <si>
    <t>Wentworth Way</t>
  </si>
  <si>
    <t>YO10 5NG, York,</t>
  </si>
  <si>
    <t>Niklas Hausmann &lt;niklas@palaeo.eu&gt;</t>
  </si>
  <si>
    <t>Element list:</t>
  </si>
  <si>
    <t>survey_year</t>
  </si>
  <si>
    <t>assignment</t>
  </si>
  <si>
    <t>DEE</t>
  </si>
  <si>
    <t>CNH</t>
  </si>
  <si>
    <t>SAC</t>
  </si>
  <si>
    <t>MIL</t>
  </si>
  <si>
    <t>BAT</t>
  </si>
  <si>
    <t>FEA</t>
  </si>
  <si>
    <t>BUT</t>
  </si>
  <si>
    <t>Unknown</t>
  </si>
  <si>
    <t>FRH</t>
  </si>
  <si>
    <t>THE</t>
  </si>
  <si>
    <t>MOH</t>
  </si>
  <si>
    <t>STA</t>
  </si>
  <si>
    <t>MOK</t>
  </si>
  <si>
    <t>SC_13_50020E_2</t>
  </si>
  <si>
    <t>SC_13_50021E_2</t>
  </si>
  <si>
    <t>NIH</t>
  </si>
  <si>
    <t>age</t>
  </si>
  <si>
    <t>age_f</t>
  </si>
  <si>
    <t>age_f_rev</t>
  </si>
  <si>
    <t>FL_mm</t>
  </si>
  <si>
    <t>sex</t>
  </si>
  <si>
    <t>adipose_fin</t>
  </si>
  <si>
    <t>outmigration_year</t>
  </si>
  <si>
    <t>WY</t>
  </si>
  <si>
    <t>phenotype_mig</t>
  </si>
  <si>
    <t>simplified_classification</t>
  </si>
  <si>
    <t>simplified_classification_g</t>
  </si>
  <si>
    <t>natal_exit</t>
  </si>
  <si>
    <t>fw_exit</t>
  </si>
  <si>
    <t>non_natal_rearing_prop</t>
  </si>
  <si>
    <t>n_all</t>
  </si>
  <si>
    <t>nat_n</t>
  </si>
  <si>
    <t>nat_perc</t>
  </si>
  <si>
    <t>nat_label</t>
  </si>
  <si>
    <t>nat_n_g</t>
  </si>
  <si>
    <t>nat_label_g</t>
  </si>
  <si>
    <t>survey_year_n</t>
  </si>
  <si>
    <t>survey_year_label</t>
  </si>
  <si>
    <t>female</t>
  </si>
  <si>
    <t>present</t>
  </si>
  <si>
    <t>AN</t>
  </si>
  <si>
    <t>NA</t>
  </si>
  <si>
    <t>MILDEE</t>
  </si>
  <si>
    <t>MILDEE_x000D_
N = 67</t>
  </si>
  <si>
    <t>2005_x000D_
N = 4</t>
  </si>
  <si>
    <t>Hatchery-strays</t>
  </si>
  <si>
    <t>Strays</t>
  </si>
  <si>
    <t>Hatchery-strays_x000D_
N = 79</t>
  </si>
  <si>
    <t>Strays_x000D_
N = 113</t>
  </si>
  <si>
    <t>unknown</t>
  </si>
  <si>
    <t>Wild-strays</t>
  </si>
  <si>
    <t>Wild-strays_x000D_
N = 34</t>
  </si>
  <si>
    <t>BN</t>
  </si>
  <si>
    <t>2006_x000D_
N = 36</t>
  </si>
  <si>
    <t>Fry</t>
  </si>
  <si>
    <t>BAT_x000D_
N = 79</t>
  </si>
  <si>
    <t>male</t>
  </si>
  <si>
    <t>Smolt</t>
  </si>
  <si>
    <t>Unknown_x000D_
N = 16</t>
  </si>
  <si>
    <t>2007_x000D_
N = 33</t>
  </si>
  <si>
    <t>W</t>
  </si>
  <si>
    <t>D</t>
  </si>
  <si>
    <t>2008_x000D_
N = 6</t>
  </si>
  <si>
    <t>2009_x000D_
N = 18</t>
  </si>
  <si>
    <t>C</t>
  </si>
  <si>
    <t>Yearling</t>
  </si>
  <si>
    <t>absent</t>
  </si>
  <si>
    <t>2010_x000D_
N = 28</t>
  </si>
  <si>
    <t>2011_x000D_
N = 11</t>
  </si>
  <si>
    <t>2012_x000D_
N = 80</t>
  </si>
  <si>
    <t>2013_x000D_
N = 13</t>
  </si>
  <si>
    <t>2014_x000D_
N = 17</t>
  </si>
  <si>
    <t>2015_x000D_
N = 3</t>
  </si>
  <si>
    <t>2016_x000D_
N = 1</t>
  </si>
  <si>
    <t>2018_x000D_
N = 4</t>
  </si>
  <si>
    <t>2019_x000D_
N = 2</t>
  </si>
  <si>
    <t>2020_x000D_
N = 1</t>
  </si>
  <si>
    <t>2021_x000D_
N =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</si>
</sst>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rge Whitman" refreshedDate="45505.492831828706" createdVersion="8" refreshedVersion="8" minRefreshableVersion="3" recordCount="375" xr:uid="{F8668DB2-E803-4F03-9963-CB020B55FA07}">
  <cacheSource type="worksheet">
    <worksheetSource ref="A1:F376" sheet="sample_list"/>
  </cacheSource>
  <cacheFields count="6">
    <cacheField name="lab_id" numFmtId="0">
      <sharedItems/>
    </cacheField>
    <cacheField name="location" numFmtId="0">
      <sharedItems count="3">
        <s v="Coleman Hatchery"/>
        <s v="yuba river"/>
        <s v="battle creek"/>
      </sharedItems>
    </cacheField>
    <cacheField name="age_class" numFmtId="0">
      <sharedItems count="2">
        <s v="juvenile"/>
        <s v="adult"/>
      </sharedItems>
    </cacheField>
    <cacheField name="year" numFmtId="0">
      <sharedItems containsSemiMixedTypes="0" containsString="0" containsNumber="1" containsInteger="1" minValue="2000" maxValue="2021" count="18">
        <n v="2000"/>
        <n v="2018"/>
        <n v="2019"/>
        <n v="2015"/>
        <n v="2014"/>
        <n v="2007"/>
        <n v="2005"/>
        <n v="2020"/>
        <n v="2012"/>
        <n v="2016"/>
        <n v="2021"/>
        <n v="2013"/>
        <n v="2009"/>
        <n v="2010"/>
        <n v="2011"/>
        <n v="2008"/>
        <n v="2006"/>
        <n v="2002"/>
      </sharedItems>
    </cacheField>
    <cacheField name="project_code" numFmtId="0">
      <sharedItems count="3">
        <s v="ISO"/>
        <s v="BCS"/>
        <s v="TSC" u="1"/>
      </sharedItems>
    </cacheField>
    <cacheField name="site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s v="CNH00154"/>
    <x v="0"/>
    <x v="0"/>
    <x v="0"/>
    <x v="0"/>
    <s v="Coleman Hatchery"/>
  </r>
  <r>
    <s v="CNH00185"/>
    <x v="0"/>
    <x v="0"/>
    <x v="0"/>
    <x v="0"/>
    <s v="Coleman Hatchery"/>
  </r>
  <r>
    <s v="CNH00165"/>
    <x v="0"/>
    <x v="0"/>
    <x v="0"/>
    <x v="0"/>
    <s v="Coleman Hatchery"/>
  </r>
  <r>
    <s v="CNH00265"/>
    <x v="0"/>
    <x v="0"/>
    <x v="0"/>
    <x v="0"/>
    <s v="Coleman Hatchery"/>
  </r>
  <r>
    <s v="CNH00275"/>
    <x v="0"/>
    <x v="0"/>
    <x v="0"/>
    <x v="0"/>
    <s v="Coleman Hatchery"/>
  </r>
  <r>
    <s v="EE18_31624"/>
    <x v="0"/>
    <x v="1"/>
    <x v="1"/>
    <x v="0"/>
    <s v="Coleman Hatchery"/>
  </r>
  <r>
    <s v="YR19006"/>
    <x v="1"/>
    <x v="0"/>
    <x v="2"/>
    <x v="0"/>
    <s v="Hallwood Blvd"/>
  </r>
  <r>
    <s v="YR19008"/>
    <x v="1"/>
    <x v="0"/>
    <x v="2"/>
    <x v="0"/>
    <s v="Hallwood Blvd"/>
  </r>
  <r>
    <s v="YR19001"/>
    <x v="1"/>
    <x v="0"/>
    <x v="2"/>
    <x v="0"/>
    <s v="Hallwood Blvd"/>
  </r>
  <r>
    <s v="YR19004"/>
    <x v="1"/>
    <x v="0"/>
    <x v="2"/>
    <x v="0"/>
    <s v="Hallwood Blvd"/>
  </r>
  <r>
    <s v="YR19003"/>
    <x v="1"/>
    <x v="0"/>
    <x v="2"/>
    <x v="0"/>
    <s v="Hallwood Blvd"/>
  </r>
  <r>
    <s v="YR19009"/>
    <x v="1"/>
    <x v="0"/>
    <x v="2"/>
    <x v="0"/>
    <s v="Hallwood Blvd"/>
  </r>
  <r>
    <s v="YR19005"/>
    <x v="1"/>
    <x v="0"/>
    <x v="2"/>
    <x v="0"/>
    <s v="Hallwood Blvd"/>
  </r>
  <r>
    <s v="YR19007"/>
    <x v="1"/>
    <x v="0"/>
    <x v="2"/>
    <x v="0"/>
    <s v="Hallwood Blvd"/>
  </r>
  <r>
    <s v="YR19010"/>
    <x v="1"/>
    <x v="0"/>
    <x v="2"/>
    <x v="0"/>
    <s v="Hallwood Blvd"/>
  </r>
  <r>
    <s v="YR19002"/>
    <x v="1"/>
    <x v="0"/>
    <x v="2"/>
    <x v="0"/>
    <s v="Hallwood Blvd"/>
  </r>
  <r>
    <s v="CNH2015-2"/>
    <x v="0"/>
    <x v="0"/>
    <x v="3"/>
    <x v="0"/>
    <s v="Coleman Hatchery"/>
  </r>
  <r>
    <s v="CNH2015-4"/>
    <x v="0"/>
    <x v="0"/>
    <x v="3"/>
    <x v="0"/>
    <s v="Coleman Hatchery"/>
  </r>
  <r>
    <s v="AL040814-2"/>
    <x v="0"/>
    <x v="0"/>
    <x v="4"/>
    <x v="0"/>
    <s v="Coleman Hatchery"/>
  </r>
  <r>
    <s v="CNH2015-6"/>
    <x v="0"/>
    <x v="0"/>
    <x v="3"/>
    <x v="0"/>
    <s v="Coleman Hatchery"/>
  </r>
  <r>
    <s v="AL041514-2"/>
    <x v="0"/>
    <x v="0"/>
    <x v="4"/>
    <x v="0"/>
    <s v="Coleman Hatchery"/>
  </r>
  <r>
    <s v="AL040814-1"/>
    <x v="0"/>
    <x v="0"/>
    <x v="4"/>
    <x v="0"/>
    <s v="Coleman Hatchery"/>
  </r>
  <r>
    <s v="AL041514-1"/>
    <x v="0"/>
    <x v="0"/>
    <x v="4"/>
    <x v="0"/>
    <s v="Coleman Hatchery"/>
  </r>
  <r>
    <s v="CNH2015-5"/>
    <x v="0"/>
    <x v="0"/>
    <x v="3"/>
    <x v="0"/>
    <s v="Coleman Hatchery"/>
  </r>
  <r>
    <s v="AL040814-3"/>
    <x v="0"/>
    <x v="0"/>
    <x v="4"/>
    <x v="0"/>
    <s v="Coleman Hatchery"/>
  </r>
  <r>
    <s v="CNH2015-7"/>
    <x v="0"/>
    <x v="0"/>
    <x v="3"/>
    <x v="0"/>
    <s v="Coleman Hatchery"/>
  </r>
  <r>
    <s v="CNH19001"/>
    <x v="0"/>
    <x v="0"/>
    <x v="2"/>
    <x v="0"/>
    <s v="Coleman Hatchery"/>
  </r>
  <r>
    <s v="CNH19003"/>
    <x v="0"/>
    <x v="0"/>
    <x v="2"/>
    <x v="0"/>
    <s v="Coleman Hatchery"/>
  </r>
  <r>
    <s v="CNH19005"/>
    <x v="0"/>
    <x v="0"/>
    <x v="2"/>
    <x v="0"/>
    <s v="Coleman Hatchery"/>
  </r>
  <r>
    <s v="CNH19006"/>
    <x v="0"/>
    <x v="0"/>
    <x v="2"/>
    <x v="0"/>
    <s v="Coleman Hatchery"/>
  </r>
  <r>
    <s v="CNH19007"/>
    <x v="0"/>
    <x v="0"/>
    <x v="2"/>
    <x v="0"/>
    <s v="Coleman Hatchery"/>
  </r>
  <r>
    <s v="CNH19011"/>
    <x v="0"/>
    <x v="0"/>
    <x v="2"/>
    <x v="0"/>
    <s v="Coleman Hatchery"/>
  </r>
  <r>
    <s v="CNH19012"/>
    <x v="0"/>
    <x v="0"/>
    <x v="2"/>
    <x v="0"/>
    <s v="Coleman Hatchery"/>
  </r>
  <r>
    <s v="CNH19013"/>
    <x v="0"/>
    <x v="0"/>
    <x v="2"/>
    <x v="0"/>
    <s v="Coleman Hatchery"/>
  </r>
  <r>
    <s v="CNH19014"/>
    <x v="0"/>
    <x v="0"/>
    <x v="2"/>
    <x v="0"/>
    <s v="Coleman Hatchery"/>
  </r>
  <r>
    <s v="SC_07_50003E"/>
    <x v="2"/>
    <x v="1"/>
    <x v="5"/>
    <x v="0"/>
    <s v="Battle Creek"/>
  </r>
  <r>
    <s v="SC_07_50010E"/>
    <x v="2"/>
    <x v="1"/>
    <x v="5"/>
    <x v="0"/>
    <s v="Battle Creek"/>
  </r>
  <r>
    <s v="SC_05_50006E"/>
    <x v="2"/>
    <x v="1"/>
    <x v="6"/>
    <x v="0"/>
    <s v="Battle Creek"/>
  </r>
  <r>
    <s v="SC_07_50027E"/>
    <x v="2"/>
    <x v="1"/>
    <x v="5"/>
    <x v="0"/>
    <s v="Battle Creek"/>
  </r>
  <r>
    <s v="ISO_14_040_01"/>
    <x v="2"/>
    <x v="0"/>
    <x v="4"/>
    <x v="0"/>
    <s v="Battle Creek"/>
  </r>
  <r>
    <s v="ISO_14_040_02"/>
    <x v="2"/>
    <x v="0"/>
    <x v="4"/>
    <x v="0"/>
    <s v="Battle Creek"/>
  </r>
  <r>
    <s v="ISO_14_040_03"/>
    <x v="2"/>
    <x v="0"/>
    <x v="4"/>
    <x v="0"/>
    <s v="Battle Creek"/>
  </r>
  <r>
    <s v="ISO_14_040_04"/>
    <x v="2"/>
    <x v="0"/>
    <x v="4"/>
    <x v="0"/>
    <s v="Battle Creek"/>
  </r>
  <r>
    <s v="ISO_14_040_05"/>
    <x v="2"/>
    <x v="0"/>
    <x v="4"/>
    <x v="0"/>
    <s v="Battle Creek"/>
  </r>
  <r>
    <s v="ISO_14_040_6"/>
    <x v="2"/>
    <x v="0"/>
    <x v="4"/>
    <x v="0"/>
    <s v="Battle Creek"/>
  </r>
  <r>
    <s v="ISO_14_040_7"/>
    <x v="2"/>
    <x v="0"/>
    <x v="4"/>
    <x v="0"/>
    <s v="Battle Creek"/>
  </r>
  <r>
    <s v="ISO_14_040_8"/>
    <x v="2"/>
    <x v="0"/>
    <x v="4"/>
    <x v="0"/>
    <s v="Battle Creek"/>
  </r>
  <r>
    <s v="ISO_55188"/>
    <x v="2"/>
    <x v="0"/>
    <x v="4"/>
    <x v="0"/>
    <s v="Battle Creek"/>
  </r>
  <r>
    <s v="ISO_14_040_10"/>
    <x v="2"/>
    <x v="0"/>
    <x v="4"/>
    <x v="0"/>
    <s v="Battle Creek"/>
  </r>
  <r>
    <s v="ISO_14_040_11"/>
    <x v="2"/>
    <x v="0"/>
    <x v="4"/>
    <x v="0"/>
    <s v="Battle Creek"/>
  </r>
  <r>
    <s v="ISO_14_040_12"/>
    <x v="2"/>
    <x v="0"/>
    <x v="4"/>
    <x v="0"/>
    <s v="Battle Creek"/>
  </r>
  <r>
    <s v="ISO_14_040_13"/>
    <x v="2"/>
    <x v="0"/>
    <x v="4"/>
    <x v="0"/>
    <s v="Battle Creek"/>
  </r>
  <r>
    <s v="ISO_14_040_14"/>
    <x v="2"/>
    <x v="0"/>
    <x v="4"/>
    <x v="0"/>
    <s v="Battle Creek"/>
  </r>
  <r>
    <s v="ISO_127_14_2"/>
    <x v="2"/>
    <x v="0"/>
    <x v="4"/>
    <x v="0"/>
    <s v="Battle Creek"/>
  </r>
  <r>
    <s v="ISO_127_14_1"/>
    <x v="2"/>
    <x v="0"/>
    <x v="4"/>
    <x v="0"/>
    <s v="Battle Creek"/>
  </r>
  <r>
    <s v="ISO_55226"/>
    <x v="2"/>
    <x v="0"/>
    <x v="7"/>
    <x v="0"/>
    <s v="Battle Creek"/>
  </r>
  <r>
    <s v="ISO_14_040_9"/>
    <x v="2"/>
    <x v="0"/>
    <x v="4"/>
    <x v="0"/>
    <s v="Battle Creek"/>
  </r>
  <r>
    <s v="ISO_14_15"/>
    <x v="2"/>
    <x v="0"/>
    <x v="4"/>
    <x v="0"/>
    <s v="Battle Creek"/>
  </r>
  <r>
    <s v="EE18_31420"/>
    <x v="0"/>
    <x v="1"/>
    <x v="1"/>
    <x v="0"/>
    <s v="Coleman Hatchery"/>
  </r>
  <r>
    <s v="EE18_31571"/>
    <x v="0"/>
    <x v="1"/>
    <x v="1"/>
    <x v="0"/>
    <s v="Coleman Hatchery"/>
  </r>
  <r>
    <s v="EE18_31620"/>
    <x v="0"/>
    <x v="1"/>
    <x v="1"/>
    <x v="0"/>
    <s v="Coleman Hatchery"/>
  </r>
  <r>
    <s v="EE18_31342"/>
    <x v="0"/>
    <x v="1"/>
    <x v="1"/>
    <x v="0"/>
    <s v="Coleman Hatchery"/>
  </r>
  <r>
    <s v="EE18_31544"/>
    <x v="0"/>
    <x v="1"/>
    <x v="1"/>
    <x v="0"/>
    <s v="Coleman Hatchery"/>
  </r>
  <r>
    <s v="EE18_31613"/>
    <x v="0"/>
    <x v="1"/>
    <x v="1"/>
    <x v="0"/>
    <s v="Coleman Hatchery"/>
  </r>
  <r>
    <s v="SC_12_50004E"/>
    <x v="2"/>
    <x v="1"/>
    <x v="8"/>
    <x v="1"/>
    <s v="Battle Creek"/>
  </r>
  <r>
    <s v="SC_12_50005E"/>
    <x v="2"/>
    <x v="1"/>
    <x v="8"/>
    <x v="1"/>
    <s v="Battle Creek"/>
  </r>
  <r>
    <s v="SC_12_50006E"/>
    <x v="2"/>
    <x v="1"/>
    <x v="8"/>
    <x v="1"/>
    <s v="Battle Creek"/>
  </r>
  <r>
    <s v="SC_12_50007E"/>
    <x v="2"/>
    <x v="1"/>
    <x v="8"/>
    <x v="1"/>
    <s v="Battle Creek"/>
  </r>
  <r>
    <s v="SC_12_50008E"/>
    <x v="2"/>
    <x v="1"/>
    <x v="8"/>
    <x v="1"/>
    <s v="Battle Creek"/>
  </r>
  <r>
    <s v="SC_12_50009E"/>
    <x v="2"/>
    <x v="1"/>
    <x v="8"/>
    <x v="1"/>
    <s v="Battle Creek"/>
  </r>
  <r>
    <s v="SC_12_50012E"/>
    <x v="2"/>
    <x v="1"/>
    <x v="8"/>
    <x v="1"/>
    <s v="Battle Creek"/>
  </r>
  <r>
    <s v="SC_12_50013E"/>
    <x v="2"/>
    <x v="1"/>
    <x v="8"/>
    <x v="1"/>
    <s v="Battle Creek"/>
  </r>
  <r>
    <s v="SC_12_50014E"/>
    <x v="2"/>
    <x v="1"/>
    <x v="8"/>
    <x v="1"/>
    <s v="Battle Creek"/>
  </r>
  <r>
    <s v="SC_12_50015E"/>
    <x v="2"/>
    <x v="1"/>
    <x v="8"/>
    <x v="1"/>
    <s v="Battle Creek"/>
  </r>
  <r>
    <s v="SC_12_50017E"/>
    <x v="2"/>
    <x v="1"/>
    <x v="8"/>
    <x v="1"/>
    <s v="Battle Creek"/>
  </r>
  <r>
    <s v="SC_12_50018E"/>
    <x v="2"/>
    <x v="1"/>
    <x v="8"/>
    <x v="1"/>
    <s v="Battle Creek"/>
  </r>
  <r>
    <s v="SC_12_50019E"/>
    <x v="2"/>
    <x v="1"/>
    <x v="8"/>
    <x v="1"/>
    <s v="Battle Creek"/>
  </r>
  <r>
    <s v="SC_12_50020E"/>
    <x v="2"/>
    <x v="1"/>
    <x v="8"/>
    <x v="1"/>
    <s v="Battle Creek"/>
  </r>
  <r>
    <s v="SC_12_50021E"/>
    <x v="2"/>
    <x v="1"/>
    <x v="8"/>
    <x v="1"/>
    <s v="Battle Creek"/>
  </r>
  <r>
    <s v="SC_12_50022E"/>
    <x v="2"/>
    <x v="1"/>
    <x v="8"/>
    <x v="1"/>
    <s v="Battle Creek"/>
  </r>
  <r>
    <s v="SC_12_50023E"/>
    <x v="2"/>
    <x v="1"/>
    <x v="8"/>
    <x v="1"/>
    <s v="Battle Creek"/>
  </r>
  <r>
    <s v="SC_12_50024E"/>
    <x v="2"/>
    <x v="1"/>
    <x v="8"/>
    <x v="1"/>
    <s v="Battle Creek"/>
  </r>
  <r>
    <s v="SC_12_50025E"/>
    <x v="2"/>
    <x v="1"/>
    <x v="8"/>
    <x v="1"/>
    <s v="Battle Creek"/>
  </r>
  <r>
    <s v="SC_12_50026E"/>
    <x v="2"/>
    <x v="1"/>
    <x v="8"/>
    <x v="1"/>
    <s v="Battle Creek"/>
  </r>
  <r>
    <s v="SC_12_50027E"/>
    <x v="2"/>
    <x v="1"/>
    <x v="8"/>
    <x v="1"/>
    <s v="Battle Creek"/>
  </r>
  <r>
    <s v="SC_12_50028E"/>
    <x v="2"/>
    <x v="1"/>
    <x v="8"/>
    <x v="1"/>
    <s v="Battle Creek"/>
  </r>
  <r>
    <s v="SC_12_50029E"/>
    <x v="2"/>
    <x v="1"/>
    <x v="8"/>
    <x v="1"/>
    <s v="Battle Creek"/>
  </r>
  <r>
    <s v="SC_12_50030E"/>
    <x v="2"/>
    <x v="1"/>
    <x v="8"/>
    <x v="1"/>
    <s v="Battle Creek"/>
  </r>
  <r>
    <s v="SC_12_50031E"/>
    <x v="2"/>
    <x v="1"/>
    <x v="8"/>
    <x v="1"/>
    <s v="Battle Creek"/>
  </r>
  <r>
    <s v="SC_12_50032E"/>
    <x v="2"/>
    <x v="1"/>
    <x v="8"/>
    <x v="1"/>
    <s v="Battle Creek"/>
  </r>
  <r>
    <s v="SC_12_50033E"/>
    <x v="2"/>
    <x v="1"/>
    <x v="8"/>
    <x v="1"/>
    <s v="Battle Creek"/>
  </r>
  <r>
    <s v="SC_12_50034E"/>
    <x v="2"/>
    <x v="1"/>
    <x v="8"/>
    <x v="1"/>
    <s v="Battle Creek"/>
  </r>
  <r>
    <s v="SC_12_50036E"/>
    <x v="2"/>
    <x v="1"/>
    <x v="8"/>
    <x v="1"/>
    <s v="Battle Creek"/>
  </r>
  <r>
    <s v="SC_12_50037E"/>
    <x v="2"/>
    <x v="1"/>
    <x v="8"/>
    <x v="1"/>
    <s v="Battle Creek"/>
  </r>
  <r>
    <s v="SC_12_50038E"/>
    <x v="2"/>
    <x v="1"/>
    <x v="8"/>
    <x v="1"/>
    <s v="Battle Creek"/>
  </r>
  <r>
    <s v="SC_12_50039E"/>
    <x v="2"/>
    <x v="1"/>
    <x v="8"/>
    <x v="1"/>
    <s v="Battle Creek"/>
  </r>
  <r>
    <s v="SC_12_50040E"/>
    <x v="2"/>
    <x v="1"/>
    <x v="8"/>
    <x v="1"/>
    <s v="Battle Creek"/>
  </r>
  <r>
    <s v="SC_12_50041E"/>
    <x v="2"/>
    <x v="1"/>
    <x v="8"/>
    <x v="1"/>
    <s v="Battle Creek"/>
  </r>
  <r>
    <s v="SC_12_50042E"/>
    <x v="2"/>
    <x v="1"/>
    <x v="8"/>
    <x v="1"/>
    <s v="Battle Creek"/>
  </r>
  <r>
    <s v="SC_12_50043E"/>
    <x v="2"/>
    <x v="1"/>
    <x v="8"/>
    <x v="1"/>
    <s v="Battle Creek"/>
  </r>
  <r>
    <s v="SC_12_50044E"/>
    <x v="2"/>
    <x v="1"/>
    <x v="8"/>
    <x v="1"/>
    <s v="Battle Creek"/>
  </r>
  <r>
    <s v="SC_12_50045E"/>
    <x v="2"/>
    <x v="1"/>
    <x v="8"/>
    <x v="1"/>
    <s v="Battle Creek"/>
  </r>
  <r>
    <s v="SC_12_50046E"/>
    <x v="2"/>
    <x v="1"/>
    <x v="8"/>
    <x v="1"/>
    <s v="Battle Creek"/>
  </r>
  <r>
    <s v="SC_12_50047E"/>
    <x v="2"/>
    <x v="1"/>
    <x v="8"/>
    <x v="1"/>
    <s v="Battle Creek"/>
  </r>
  <r>
    <s v="SC_12_50049E"/>
    <x v="2"/>
    <x v="1"/>
    <x v="8"/>
    <x v="1"/>
    <s v="Battle Creek"/>
  </r>
  <r>
    <s v="SC_12_50051E"/>
    <x v="2"/>
    <x v="1"/>
    <x v="8"/>
    <x v="1"/>
    <s v="Battle Creek"/>
  </r>
  <r>
    <s v="SC_12_50052E"/>
    <x v="2"/>
    <x v="1"/>
    <x v="8"/>
    <x v="1"/>
    <s v="Battle Creek"/>
  </r>
  <r>
    <s v="SC_12_50053E"/>
    <x v="2"/>
    <x v="1"/>
    <x v="8"/>
    <x v="1"/>
    <s v="Battle Creek"/>
  </r>
  <r>
    <s v="SC_12_50054E"/>
    <x v="2"/>
    <x v="1"/>
    <x v="8"/>
    <x v="1"/>
    <s v="Battle Creek"/>
  </r>
  <r>
    <s v="SC_12_50055E"/>
    <x v="2"/>
    <x v="1"/>
    <x v="8"/>
    <x v="1"/>
    <s v="Battle Creek"/>
  </r>
  <r>
    <s v="SC_12_50056E"/>
    <x v="2"/>
    <x v="1"/>
    <x v="8"/>
    <x v="1"/>
    <s v="Battle Creek"/>
  </r>
  <r>
    <s v="SC_12_50057E"/>
    <x v="2"/>
    <x v="1"/>
    <x v="8"/>
    <x v="1"/>
    <s v="Battle Creek"/>
  </r>
  <r>
    <s v="SC_12_50058E"/>
    <x v="2"/>
    <x v="1"/>
    <x v="8"/>
    <x v="1"/>
    <s v="Battle Creek"/>
  </r>
  <r>
    <s v="SC_12_50059E"/>
    <x v="2"/>
    <x v="1"/>
    <x v="8"/>
    <x v="1"/>
    <s v="Battle Creek"/>
  </r>
  <r>
    <s v="SC_12_50060E"/>
    <x v="2"/>
    <x v="1"/>
    <x v="8"/>
    <x v="1"/>
    <s v="Battle Creek"/>
  </r>
  <r>
    <s v="SC_12_50064E"/>
    <x v="2"/>
    <x v="1"/>
    <x v="8"/>
    <x v="1"/>
    <s v="Battle Creek"/>
  </r>
  <r>
    <s v="SC_12_50065E"/>
    <x v="2"/>
    <x v="1"/>
    <x v="8"/>
    <x v="1"/>
    <s v="Battle Creek"/>
  </r>
  <r>
    <s v="SC_12_50066E"/>
    <x v="2"/>
    <x v="1"/>
    <x v="8"/>
    <x v="1"/>
    <s v="Battle Creek"/>
  </r>
  <r>
    <s v="SC_12_50067E"/>
    <x v="2"/>
    <x v="1"/>
    <x v="8"/>
    <x v="1"/>
    <s v="Battle Creek"/>
  </r>
  <r>
    <s v="SC_12_50068E"/>
    <x v="2"/>
    <x v="1"/>
    <x v="8"/>
    <x v="1"/>
    <s v="Battle Creek"/>
  </r>
  <r>
    <s v="SC_12_50071E"/>
    <x v="2"/>
    <x v="1"/>
    <x v="8"/>
    <x v="1"/>
    <s v="Battle Creek"/>
  </r>
  <r>
    <s v="SC_12_50072E"/>
    <x v="2"/>
    <x v="1"/>
    <x v="8"/>
    <x v="1"/>
    <s v="Battle Creek"/>
  </r>
  <r>
    <s v="SC_16_50000E"/>
    <x v="2"/>
    <x v="1"/>
    <x v="9"/>
    <x v="1"/>
    <s v="Battle Creek"/>
  </r>
  <r>
    <s v="SC_18_50000E"/>
    <x v="2"/>
    <x v="1"/>
    <x v="1"/>
    <x v="1"/>
    <s v="Battle Creek"/>
  </r>
  <r>
    <s v="SC_18_50004E"/>
    <x v="2"/>
    <x v="1"/>
    <x v="1"/>
    <x v="1"/>
    <s v="Battle Creek"/>
  </r>
  <r>
    <s v="SC_18_50006E"/>
    <x v="2"/>
    <x v="1"/>
    <x v="1"/>
    <x v="1"/>
    <s v="Battle Creek"/>
  </r>
  <r>
    <s v="SC_18_50005E"/>
    <x v="2"/>
    <x v="1"/>
    <x v="1"/>
    <x v="1"/>
    <s v="Battle Creek"/>
  </r>
  <r>
    <s v="SC_19_50022E"/>
    <x v="2"/>
    <x v="1"/>
    <x v="2"/>
    <x v="1"/>
    <s v="Battle Creek"/>
  </r>
  <r>
    <s v="SC_19_50021E"/>
    <x v="2"/>
    <x v="1"/>
    <x v="2"/>
    <x v="1"/>
    <s v="Battle Creek"/>
  </r>
  <r>
    <s v="SC_20_50000E"/>
    <x v="2"/>
    <x v="1"/>
    <x v="7"/>
    <x v="1"/>
    <s v="Battle Creek"/>
  </r>
  <r>
    <s v="SC_21_50001E"/>
    <x v="2"/>
    <x v="1"/>
    <x v="10"/>
    <x v="1"/>
    <s v="Battle Creek"/>
  </r>
  <r>
    <s v="SC_21_50002E"/>
    <x v="2"/>
    <x v="1"/>
    <x v="10"/>
    <x v="1"/>
    <s v="Battle Creek"/>
  </r>
  <r>
    <s v="SC_21_50003E"/>
    <x v="2"/>
    <x v="1"/>
    <x v="10"/>
    <x v="1"/>
    <s v="Battle Creek"/>
  </r>
  <r>
    <s v="SC_21_50004E"/>
    <x v="2"/>
    <x v="1"/>
    <x v="10"/>
    <x v="1"/>
    <s v="Battle Creek"/>
  </r>
  <r>
    <s v="SC_21_50005E"/>
    <x v="2"/>
    <x v="1"/>
    <x v="10"/>
    <x v="1"/>
    <s v="Battle Creek"/>
  </r>
  <r>
    <s v="SC_21_50006E"/>
    <x v="2"/>
    <x v="1"/>
    <x v="10"/>
    <x v="1"/>
    <s v="Battle Creek"/>
  </r>
  <r>
    <s v="SC_21_50007E"/>
    <x v="2"/>
    <x v="1"/>
    <x v="10"/>
    <x v="1"/>
    <s v="Battle Creek"/>
  </r>
  <r>
    <s v="SC_21_50009E"/>
    <x v="2"/>
    <x v="1"/>
    <x v="10"/>
    <x v="1"/>
    <s v="Battle Creek"/>
  </r>
  <r>
    <s v="SC_21_50010E"/>
    <x v="2"/>
    <x v="1"/>
    <x v="10"/>
    <x v="1"/>
    <s v="Battle Creek"/>
  </r>
  <r>
    <s v="SC_21_50011E"/>
    <x v="2"/>
    <x v="1"/>
    <x v="10"/>
    <x v="1"/>
    <s v="Battle Creek"/>
  </r>
  <r>
    <s v="SC_21_50012E"/>
    <x v="2"/>
    <x v="1"/>
    <x v="10"/>
    <x v="1"/>
    <s v="Battle Creek"/>
  </r>
  <r>
    <s v="SC_21_50015E"/>
    <x v="2"/>
    <x v="1"/>
    <x v="10"/>
    <x v="1"/>
    <s v="Battle Creek"/>
  </r>
  <r>
    <s v="SC_21_50016E"/>
    <x v="2"/>
    <x v="1"/>
    <x v="10"/>
    <x v="1"/>
    <s v="Battle Creek"/>
  </r>
  <r>
    <s v="SC_21_50021E"/>
    <x v="2"/>
    <x v="1"/>
    <x v="10"/>
    <x v="1"/>
    <s v="Battle Creek"/>
  </r>
  <r>
    <s v="SC_21_50023E"/>
    <x v="2"/>
    <x v="1"/>
    <x v="10"/>
    <x v="1"/>
    <s v="Battle Creek"/>
  </r>
  <r>
    <s v="SC_21_50028E"/>
    <x v="2"/>
    <x v="1"/>
    <x v="10"/>
    <x v="1"/>
    <s v="Battle Creek"/>
  </r>
  <r>
    <s v="SC_21_51076E"/>
    <x v="2"/>
    <x v="1"/>
    <x v="10"/>
    <x v="1"/>
    <s v="Battle Creek"/>
  </r>
  <r>
    <s v="SC_21_51077E"/>
    <x v="2"/>
    <x v="1"/>
    <x v="10"/>
    <x v="1"/>
    <s v="Battle Creek"/>
  </r>
  <r>
    <s v="SC_13_50005E"/>
    <x v="2"/>
    <x v="1"/>
    <x v="11"/>
    <x v="1"/>
    <s v="Battle Creek"/>
  </r>
  <r>
    <s v="SC_13_50006E"/>
    <x v="2"/>
    <x v="1"/>
    <x v="11"/>
    <x v="1"/>
    <s v="Battle Creek"/>
  </r>
  <r>
    <s v="SC_13_50008E"/>
    <x v="2"/>
    <x v="1"/>
    <x v="11"/>
    <x v="1"/>
    <s v="Battle Creek"/>
  </r>
  <r>
    <s v="SC_13_50009E"/>
    <x v="2"/>
    <x v="1"/>
    <x v="11"/>
    <x v="1"/>
    <s v="Battle Creek"/>
  </r>
  <r>
    <s v="SC_13_50010E"/>
    <x v="2"/>
    <x v="1"/>
    <x v="11"/>
    <x v="1"/>
    <s v="Battle Creek"/>
  </r>
  <r>
    <s v="SC_13_50011E"/>
    <x v="2"/>
    <x v="1"/>
    <x v="11"/>
    <x v="1"/>
    <s v="Battle Creek"/>
  </r>
  <r>
    <s v="SC_13_50012E"/>
    <x v="2"/>
    <x v="1"/>
    <x v="11"/>
    <x v="1"/>
    <s v="Battle Creek"/>
  </r>
  <r>
    <s v="SC_13_50013E"/>
    <x v="2"/>
    <x v="1"/>
    <x v="11"/>
    <x v="1"/>
    <s v="Battle Creek"/>
  </r>
  <r>
    <s v="SC_13_50016E"/>
    <x v="2"/>
    <x v="1"/>
    <x v="11"/>
    <x v="1"/>
    <s v="Battle Creek"/>
  </r>
  <r>
    <s v="SC_13_50018E"/>
    <x v="2"/>
    <x v="1"/>
    <x v="11"/>
    <x v="1"/>
    <s v="Battle Creek"/>
  </r>
  <r>
    <s v="SC_13_50019E"/>
    <x v="2"/>
    <x v="1"/>
    <x v="11"/>
    <x v="1"/>
    <s v="Battle Creek"/>
  </r>
  <r>
    <s v="SC_13_50020E"/>
    <x v="2"/>
    <x v="1"/>
    <x v="11"/>
    <x v="1"/>
    <s v="Battle Creek"/>
  </r>
  <r>
    <s v="SC_13_50021E"/>
    <x v="2"/>
    <x v="1"/>
    <x v="11"/>
    <x v="1"/>
    <s v="Battle Creek"/>
  </r>
  <r>
    <s v="SC_13_50022E"/>
    <x v="2"/>
    <x v="1"/>
    <x v="11"/>
    <x v="1"/>
    <s v="Battle Creek"/>
  </r>
  <r>
    <s v="SC_13_50023E"/>
    <x v="2"/>
    <x v="1"/>
    <x v="11"/>
    <x v="1"/>
    <s v="Battle Creek"/>
  </r>
  <r>
    <s v="SC_13_50037E"/>
    <x v="2"/>
    <x v="1"/>
    <x v="11"/>
    <x v="1"/>
    <s v="Battle Creek"/>
  </r>
  <r>
    <s v="SC_13_50039E"/>
    <x v="2"/>
    <x v="1"/>
    <x v="11"/>
    <x v="1"/>
    <s v="Battle Creek"/>
  </r>
  <r>
    <s v="SC_13_50059E"/>
    <x v="2"/>
    <x v="1"/>
    <x v="11"/>
    <x v="1"/>
    <s v="Battle Creek"/>
  </r>
  <r>
    <s v="SC_13_50066E"/>
    <x v="2"/>
    <x v="1"/>
    <x v="11"/>
    <x v="1"/>
    <s v="Battle Creek"/>
  </r>
  <r>
    <s v="SC_13_50077E"/>
    <x v="2"/>
    <x v="1"/>
    <x v="11"/>
    <x v="1"/>
    <s v="Battle Creek"/>
  </r>
  <r>
    <s v="SC_13_51007E"/>
    <x v="2"/>
    <x v="1"/>
    <x v="11"/>
    <x v="1"/>
    <s v="Battle Creek"/>
  </r>
  <r>
    <s v="SC_13_51008E"/>
    <x v="2"/>
    <x v="1"/>
    <x v="11"/>
    <x v="1"/>
    <s v="Battle Creek"/>
  </r>
  <r>
    <s v="SC_14_50004E"/>
    <x v="2"/>
    <x v="1"/>
    <x v="4"/>
    <x v="1"/>
    <s v="Battle Creek"/>
  </r>
  <r>
    <s v="SC_12_50073E"/>
    <x v="2"/>
    <x v="1"/>
    <x v="8"/>
    <x v="1"/>
    <s v="Battle Creek"/>
  </r>
  <r>
    <s v="SC_12_50074E"/>
    <x v="2"/>
    <x v="1"/>
    <x v="8"/>
    <x v="1"/>
    <s v="Battle Creek"/>
  </r>
  <r>
    <s v="SC_12_50075E"/>
    <x v="2"/>
    <x v="1"/>
    <x v="8"/>
    <x v="1"/>
    <s v="Battle Creek"/>
  </r>
  <r>
    <s v="SC_12_50076E"/>
    <x v="2"/>
    <x v="1"/>
    <x v="8"/>
    <x v="1"/>
    <s v="Battle Creek"/>
  </r>
  <r>
    <s v="SC_12_50077E"/>
    <x v="2"/>
    <x v="1"/>
    <x v="8"/>
    <x v="1"/>
    <s v="Battle Creek"/>
  </r>
  <r>
    <s v="SC_12_50078E"/>
    <x v="2"/>
    <x v="1"/>
    <x v="8"/>
    <x v="1"/>
    <s v="Battle Creek"/>
  </r>
  <r>
    <s v="SC_12_50079E"/>
    <x v="2"/>
    <x v="1"/>
    <x v="8"/>
    <x v="1"/>
    <s v="Battle Creek"/>
  </r>
  <r>
    <s v="SC_12_50080E"/>
    <x v="2"/>
    <x v="1"/>
    <x v="8"/>
    <x v="1"/>
    <s v="Battle Creek"/>
  </r>
  <r>
    <s v="SC_12_50081E"/>
    <x v="2"/>
    <x v="1"/>
    <x v="8"/>
    <x v="1"/>
    <s v="Battle Creek"/>
  </r>
  <r>
    <s v="SC_12_50082E"/>
    <x v="2"/>
    <x v="1"/>
    <x v="8"/>
    <x v="1"/>
    <s v="Battle Creek"/>
  </r>
  <r>
    <s v="SC_12_50083E"/>
    <x v="2"/>
    <x v="1"/>
    <x v="8"/>
    <x v="1"/>
    <s v="Battle Creek"/>
  </r>
  <r>
    <s v="SC_12_50084E"/>
    <x v="2"/>
    <x v="1"/>
    <x v="8"/>
    <x v="1"/>
    <s v="Battle Creek"/>
  </r>
  <r>
    <s v="SC_12_50085E"/>
    <x v="2"/>
    <x v="1"/>
    <x v="8"/>
    <x v="1"/>
    <s v="Battle Creek"/>
  </r>
  <r>
    <s v="SC_12_50086E"/>
    <x v="2"/>
    <x v="1"/>
    <x v="8"/>
    <x v="1"/>
    <s v="Battle Creek"/>
  </r>
  <r>
    <s v="SC_12_50087E"/>
    <x v="2"/>
    <x v="1"/>
    <x v="8"/>
    <x v="1"/>
    <s v="Battle Creek"/>
  </r>
  <r>
    <s v="SC_12_50088E"/>
    <x v="2"/>
    <x v="1"/>
    <x v="8"/>
    <x v="1"/>
    <s v="Battle Creek"/>
  </r>
  <r>
    <s v="SC_12_50089E"/>
    <x v="2"/>
    <x v="1"/>
    <x v="8"/>
    <x v="1"/>
    <s v="Battle Creek"/>
  </r>
  <r>
    <s v="SC_12_50090E"/>
    <x v="2"/>
    <x v="1"/>
    <x v="8"/>
    <x v="1"/>
    <s v="Battle Creek"/>
  </r>
  <r>
    <s v="SC_12_50103E"/>
    <x v="2"/>
    <x v="1"/>
    <x v="8"/>
    <x v="1"/>
    <s v="Battle Creek"/>
  </r>
  <r>
    <s v="SC_12_50115E"/>
    <x v="2"/>
    <x v="1"/>
    <x v="8"/>
    <x v="1"/>
    <s v="Battle Creek"/>
  </r>
  <r>
    <s v="SC_12_50116E"/>
    <x v="2"/>
    <x v="1"/>
    <x v="8"/>
    <x v="1"/>
    <s v="Battle Creek"/>
  </r>
  <r>
    <s v="SC_12_50117E"/>
    <x v="2"/>
    <x v="1"/>
    <x v="8"/>
    <x v="1"/>
    <s v="Battle Creek"/>
  </r>
  <r>
    <s v="SC_09_50012E"/>
    <x v="2"/>
    <x v="1"/>
    <x v="12"/>
    <x v="1"/>
    <s v="Battle Creek"/>
  </r>
  <r>
    <s v="SC_09_51009E"/>
    <x v="2"/>
    <x v="1"/>
    <x v="12"/>
    <x v="1"/>
    <s v="Battle Creek"/>
  </r>
  <r>
    <s v="SC_10_50009E"/>
    <x v="2"/>
    <x v="1"/>
    <x v="13"/>
    <x v="1"/>
    <s v="Battle Creek"/>
  </r>
  <r>
    <s v="SC_10_50068E"/>
    <x v="2"/>
    <x v="1"/>
    <x v="13"/>
    <x v="1"/>
    <s v="Battle Creek"/>
  </r>
  <r>
    <s v="SC_11_50017E"/>
    <x v="2"/>
    <x v="1"/>
    <x v="14"/>
    <x v="1"/>
    <s v="Battle Creek"/>
  </r>
  <r>
    <s v="SC_09_50011E"/>
    <x v="2"/>
    <x v="1"/>
    <x v="12"/>
    <x v="1"/>
    <s v="Battle Creek"/>
  </r>
  <r>
    <s v="SC_09_50024E"/>
    <x v="2"/>
    <x v="1"/>
    <x v="12"/>
    <x v="1"/>
    <s v="Battle Creek"/>
  </r>
  <r>
    <s v="SC_10_50008E"/>
    <x v="2"/>
    <x v="1"/>
    <x v="13"/>
    <x v="1"/>
    <s v="Battle Creek"/>
  </r>
  <r>
    <s v="SC_10_50055E"/>
    <x v="2"/>
    <x v="1"/>
    <x v="13"/>
    <x v="1"/>
    <s v="Battle Creek"/>
  </r>
  <r>
    <s v="SC_10_50066E"/>
    <x v="2"/>
    <x v="1"/>
    <x v="13"/>
    <x v="1"/>
    <s v="Battle Creek"/>
  </r>
  <r>
    <s v="SC_11_50015E"/>
    <x v="2"/>
    <x v="1"/>
    <x v="14"/>
    <x v="1"/>
    <s v="Battle Creek"/>
  </r>
  <r>
    <s v="SC_09_50009E"/>
    <x v="2"/>
    <x v="1"/>
    <x v="15"/>
    <x v="1"/>
    <s v="Battle Creek"/>
  </r>
  <r>
    <s v="SC_09_50023E"/>
    <x v="2"/>
    <x v="1"/>
    <x v="12"/>
    <x v="1"/>
    <s v="Battle Creek"/>
  </r>
  <r>
    <s v="SC_10_50007E"/>
    <x v="2"/>
    <x v="1"/>
    <x v="13"/>
    <x v="1"/>
    <s v="Battle Creek"/>
  </r>
  <r>
    <s v="SC_10_50054E"/>
    <x v="2"/>
    <x v="1"/>
    <x v="13"/>
    <x v="1"/>
    <s v="Battle Creek"/>
  </r>
  <r>
    <s v="SC_10_50065E"/>
    <x v="2"/>
    <x v="1"/>
    <x v="13"/>
    <x v="1"/>
    <s v="Battle Creek"/>
  </r>
  <r>
    <s v="SC_11_50014E"/>
    <x v="2"/>
    <x v="1"/>
    <x v="14"/>
    <x v="1"/>
    <s v="Battle Creek"/>
  </r>
  <r>
    <s v="SC_09_50008E"/>
    <x v="2"/>
    <x v="1"/>
    <x v="12"/>
    <x v="1"/>
    <s v="Battle Creek"/>
  </r>
  <r>
    <s v="SC_09_50022E"/>
    <x v="2"/>
    <x v="1"/>
    <x v="12"/>
    <x v="1"/>
    <s v="Battle Creek"/>
  </r>
  <r>
    <s v="SC_10_50006E"/>
    <x v="2"/>
    <x v="1"/>
    <x v="13"/>
    <x v="1"/>
    <s v="Battle Creek"/>
  </r>
  <r>
    <s v="SC_10_50052E"/>
    <x v="2"/>
    <x v="1"/>
    <x v="13"/>
    <x v="1"/>
    <s v="Battle Creek"/>
  </r>
  <r>
    <s v="SC_10_50063E"/>
    <x v="2"/>
    <x v="1"/>
    <x v="13"/>
    <x v="1"/>
    <s v="Battle Creek"/>
  </r>
  <r>
    <s v="SC_11_50013E"/>
    <x v="2"/>
    <x v="1"/>
    <x v="14"/>
    <x v="1"/>
    <s v="Battle Creek"/>
  </r>
  <r>
    <s v="SC_09_50007E"/>
    <x v="2"/>
    <x v="1"/>
    <x v="12"/>
    <x v="1"/>
    <s v="Battle Creek"/>
  </r>
  <r>
    <s v="SC_09_50021E"/>
    <x v="2"/>
    <x v="1"/>
    <x v="12"/>
    <x v="1"/>
    <s v="Battle Creek"/>
  </r>
  <r>
    <s v="SC_10_50005E"/>
    <x v="2"/>
    <x v="1"/>
    <x v="13"/>
    <x v="1"/>
    <s v="Battle Creek"/>
  </r>
  <r>
    <s v="SC_10_50050E"/>
    <x v="2"/>
    <x v="1"/>
    <x v="13"/>
    <x v="1"/>
    <s v="Battle Creek"/>
  </r>
  <r>
    <s v="SC_10_50061E"/>
    <x v="2"/>
    <x v="1"/>
    <x v="13"/>
    <x v="1"/>
    <s v="Battle Creek"/>
  </r>
  <r>
    <s v="SC_11_50012E"/>
    <x v="2"/>
    <x v="1"/>
    <x v="14"/>
    <x v="1"/>
    <s v="Battle Creek"/>
  </r>
  <r>
    <s v="SC_08_50017E"/>
    <x v="2"/>
    <x v="1"/>
    <x v="15"/>
    <x v="1"/>
    <s v="Battle Creek"/>
  </r>
  <r>
    <s v="SC_09_50006E"/>
    <x v="2"/>
    <x v="1"/>
    <x v="12"/>
    <x v="1"/>
    <s v="Battle Creek"/>
  </r>
  <r>
    <s v="SC_09_50017E"/>
    <x v="2"/>
    <x v="1"/>
    <x v="12"/>
    <x v="1"/>
    <s v="Battle Creek"/>
  </r>
  <r>
    <s v="SC_10_50004E"/>
    <x v="2"/>
    <x v="1"/>
    <x v="13"/>
    <x v="1"/>
    <s v="Battle Creek"/>
  </r>
  <r>
    <s v="SC_10_50014E"/>
    <x v="2"/>
    <x v="1"/>
    <x v="13"/>
    <x v="1"/>
    <s v="Battle Creek"/>
  </r>
  <r>
    <s v="SC_10_50060E"/>
    <x v="2"/>
    <x v="1"/>
    <x v="13"/>
    <x v="1"/>
    <s v="Battle Creek"/>
  </r>
  <r>
    <s v="SC_11_50011E"/>
    <x v="2"/>
    <x v="1"/>
    <x v="14"/>
    <x v="1"/>
    <s v="Battle Creek"/>
  </r>
  <r>
    <s v="SC_07_50058E"/>
    <x v="2"/>
    <x v="1"/>
    <x v="5"/>
    <x v="1"/>
    <s v="Battle Creek"/>
  </r>
  <r>
    <s v="SC_09_50005E"/>
    <x v="2"/>
    <x v="1"/>
    <x v="12"/>
    <x v="1"/>
    <s v="Battle Creek"/>
  </r>
  <r>
    <s v="SC_08_50016E"/>
    <x v="2"/>
    <x v="1"/>
    <x v="15"/>
    <x v="1"/>
    <s v="Battle Creek"/>
  </r>
  <r>
    <s v="SC_09_50016E"/>
    <x v="2"/>
    <x v="1"/>
    <x v="12"/>
    <x v="1"/>
    <s v="Battle Creek"/>
  </r>
  <r>
    <s v="SC_10_50003E"/>
    <x v="2"/>
    <x v="1"/>
    <x v="13"/>
    <x v="1"/>
    <s v="Battle Creek"/>
  </r>
  <r>
    <s v="SC_10_50013E"/>
    <x v="2"/>
    <x v="1"/>
    <x v="13"/>
    <x v="1"/>
    <s v="Battle Creek"/>
  </r>
  <r>
    <s v="SC_10_50059E"/>
    <x v="2"/>
    <x v="1"/>
    <x v="13"/>
    <x v="1"/>
    <s v="Battle Creek"/>
  </r>
  <r>
    <s v="SC_14_50005E"/>
    <x v="2"/>
    <x v="1"/>
    <x v="4"/>
    <x v="1"/>
    <s v="Battle Creek"/>
  </r>
  <r>
    <s v="SC_14_50006E"/>
    <x v="2"/>
    <x v="1"/>
    <x v="4"/>
    <x v="1"/>
    <s v="Battle Creek"/>
  </r>
  <r>
    <s v="SC_14_50007E"/>
    <x v="2"/>
    <x v="1"/>
    <x v="4"/>
    <x v="1"/>
    <s v="Battle Creek"/>
  </r>
  <r>
    <s v="SC_14_50008E"/>
    <x v="2"/>
    <x v="1"/>
    <x v="4"/>
    <x v="1"/>
    <s v="Battle Creek"/>
  </r>
  <r>
    <s v="SC_14_50009E"/>
    <x v="2"/>
    <x v="1"/>
    <x v="4"/>
    <x v="1"/>
    <s v="Battle Creek"/>
  </r>
  <r>
    <s v="SC_14_50023E"/>
    <x v="2"/>
    <x v="1"/>
    <x v="4"/>
    <x v="1"/>
    <s v="Battle Creek"/>
  </r>
  <r>
    <s v="SC_14_50024E"/>
    <x v="2"/>
    <x v="1"/>
    <x v="4"/>
    <x v="1"/>
    <s v="Battle Creek"/>
  </r>
  <r>
    <s v="SC_14_50025E"/>
    <x v="2"/>
    <x v="1"/>
    <x v="4"/>
    <x v="1"/>
    <s v="Battle Creek"/>
  </r>
  <r>
    <s v="SC_14_50027E"/>
    <x v="2"/>
    <x v="1"/>
    <x v="4"/>
    <x v="1"/>
    <s v="Battle Creek"/>
  </r>
  <r>
    <s v="SC_14_50029E"/>
    <x v="2"/>
    <x v="1"/>
    <x v="4"/>
    <x v="1"/>
    <s v="Battle Creek"/>
  </r>
  <r>
    <s v="SC_14_50032E"/>
    <x v="2"/>
    <x v="1"/>
    <x v="4"/>
    <x v="1"/>
    <s v="Battle Creek"/>
  </r>
  <r>
    <s v="SC_14_50033E"/>
    <x v="2"/>
    <x v="1"/>
    <x v="4"/>
    <x v="1"/>
    <s v="Battle Creek"/>
  </r>
  <r>
    <s v="SC_14_50034E"/>
    <x v="2"/>
    <x v="1"/>
    <x v="4"/>
    <x v="1"/>
    <s v="Battle Creek"/>
  </r>
  <r>
    <s v="SC_14_50038E"/>
    <x v="2"/>
    <x v="1"/>
    <x v="4"/>
    <x v="1"/>
    <s v="Battle Creek"/>
  </r>
  <r>
    <s v="SC_14_50039E"/>
    <x v="2"/>
    <x v="1"/>
    <x v="4"/>
    <x v="1"/>
    <s v="Battle Creek"/>
  </r>
  <r>
    <s v="SC_14_50040E"/>
    <x v="2"/>
    <x v="1"/>
    <x v="4"/>
    <x v="1"/>
    <s v="Battle Creek"/>
  </r>
  <r>
    <s v="SC_14_50041E"/>
    <x v="2"/>
    <x v="1"/>
    <x v="4"/>
    <x v="1"/>
    <s v="Battle Creek"/>
  </r>
  <r>
    <s v="SC_14_50043E"/>
    <x v="2"/>
    <x v="1"/>
    <x v="4"/>
    <x v="1"/>
    <s v="Battle Creek"/>
  </r>
  <r>
    <s v="SC_15_50004E"/>
    <x v="2"/>
    <x v="1"/>
    <x v="3"/>
    <x v="1"/>
    <s v="Battle Creek"/>
  </r>
  <r>
    <s v="SC_15_50000E"/>
    <x v="2"/>
    <x v="1"/>
    <x v="3"/>
    <x v="1"/>
    <s v="Battle Creek"/>
  </r>
  <r>
    <s v="SC_15_50010E"/>
    <x v="2"/>
    <x v="1"/>
    <x v="3"/>
    <x v="1"/>
    <s v="Battle Creek"/>
  </r>
  <r>
    <s v="SC_05_50022E"/>
    <x v="2"/>
    <x v="1"/>
    <x v="6"/>
    <x v="1"/>
    <s v="Battle Creek"/>
  </r>
  <r>
    <s v="SC_05_50017E"/>
    <x v="2"/>
    <x v="1"/>
    <x v="6"/>
    <x v="1"/>
    <s v="Battle Creek"/>
  </r>
  <r>
    <s v="SC_05_50015E"/>
    <x v="2"/>
    <x v="1"/>
    <x v="6"/>
    <x v="1"/>
    <s v="Battle Creek"/>
  </r>
  <r>
    <s v="SC_05_50007E"/>
    <x v="2"/>
    <x v="1"/>
    <x v="6"/>
    <x v="1"/>
    <s v="Battle Creek"/>
  </r>
  <r>
    <s v="SC_06_50023E"/>
    <x v="2"/>
    <x v="1"/>
    <x v="16"/>
    <x v="1"/>
    <s v="Battle Creek"/>
  </r>
  <r>
    <s v="SC_06_50020E"/>
    <x v="2"/>
    <x v="1"/>
    <x v="16"/>
    <x v="1"/>
    <s v="Battle Creek"/>
  </r>
  <r>
    <s v="SC_06_50019E"/>
    <x v="2"/>
    <x v="1"/>
    <x v="16"/>
    <x v="1"/>
    <s v="Battle Creek"/>
  </r>
  <r>
    <s v="SC_06_50018E"/>
    <x v="2"/>
    <x v="1"/>
    <x v="16"/>
    <x v="1"/>
    <s v="Battle Creek"/>
  </r>
  <r>
    <s v="SC_06_50017E"/>
    <x v="2"/>
    <x v="1"/>
    <x v="16"/>
    <x v="1"/>
    <s v="Battle Creek"/>
  </r>
  <r>
    <s v="SC_06_50015E"/>
    <x v="2"/>
    <x v="1"/>
    <x v="16"/>
    <x v="1"/>
    <s v="Battle Creek"/>
  </r>
  <r>
    <s v="SC_06_50016E"/>
    <x v="2"/>
    <x v="1"/>
    <x v="16"/>
    <x v="1"/>
    <s v="Battle Creek"/>
  </r>
  <r>
    <s v="SC_06_50012E"/>
    <x v="2"/>
    <x v="1"/>
    <x v="16"/>
    <x v="1"/>
    <s v="Battle Creek"/>
  </r>
  <r>
    <s v="SC_06_50024E"/>
    <x v="2"/>
    <x v="1"/>
    <x v="16"/>
    <x v="1"/>
    <s v="Battle Creek"/>
  </r>
  <r>
    <s v="SC_06_50025E"/>
    <x v="2"/>
    <x v="1"/>
    <x v="16"/>
    <x v="1"/>
    <s v="Battle Creek"/>
  </r>
  <r>
    <s v="SC_06_50026E"/>
    <x v="2"/>
    <x v="1"/>
    <x v="16"/>
    <x v="1"/>
    <s v="Battle Creek"/>
  </r>
  <r>
    <s v="SC_06_50027E"/>
    <x v="2"/>
    <x v="1"/>
    <x v="16"/>
    <x v="1"/>
    <s v="Battle Creek"/>
  </r>
  <r>
    <s v="SC_06_50028E"/>
    <x v="2"/>
    <x v="1"/>
    <x v="16"/>
    <x v="1"/>
    <s v="Battle Creek"/>
  </r>
  <r>
    <s v="SC_06_50029E"/>
    <x v="2"/>
    <x v="1"/>
    <x v="16"/>
    <x v="1"/>
    <s v="Battle Creek"/>
  </r>
  <r>
    <s v="SC_06_50030E"/>
    <x v="2"/>
    <x v="1"/>
    <x v="16"/>
    <x v="1"/>
    <s v="Battle Creek"/>
  </r>
  <r>
    <s v="SC_06_50031E"/>
    <x v="2"/>
    <x v="1"/>
    <x v="16"/>
    <x v="1"/>
    <s v="Battle Creek"/>
  </r>
  <r>
    <s v="SC_06_50032E"/>
    <x v="2"/>
    <x v="1"/>
    <x v="16"/>
    <x v="1"/>
    <s v="Battle Creek"/>
  </r>
  <r>
    <s v="SC_06_50033E"/>
    <x v="2"/>
    <x v="1"/>
    <x v="16"/>
    <x v="1"/>
    <s v="Battle Creek"/>
  </r>
  <r>
    <s v="SC_06_50034E"/>
    <x v="2"/>
    <x v="1"/>
    <x v="16"/>
    <x v="1"/>
    <s v="Battle Creek"/>
  </r>
  <r>
    <s v="SC_06_50035E"/>
    <x v="2"/>
    <x v="1"/>
    <x v="16"/>
    <x v="1"/>
    <s v="Battle Creek"/>
  </r>
  <r>
    <s v="SC_06_50036E"/>
    <x v="2"/>
    <x v="1"/>
    <x v="16"/>
    <x v="1"/>
    <s v="Battle Creek"/>
  </r>
  <r>
    <s v="SC_06_50037E"/>
    <x v="2"/>
    <x v="1"/>
    <x v="16"/>
    <x v="1"/>
    <s v="Battle Creek"/>
  </r>
  <r>
    <s v="SC_06_50040E"/>
    <x v="2"/>
    <x v="1"/>
    <x v="16"/>
    <x v="1"/>
    <s v="Battle Creek"/>
  </r>
  <r>
    <s v="SC_06_50042E"/>
    <x v="2"/>
    <x v="1"/>
    <x v="16"/>
    <x v="1"/>
    <s v="Battle Creek"/>
  </r>
  <r>
    <s v="SC_06_50044E"/>
    <x v="2"/>
    <x v="1"/>
    <x v="16"/>
    <x v="1"/>
    <s v="Battle Creek"/>
  </r>
  <r>
    <s v="SC_06_50045E"/>
    <x v="2"/>
    <x v="1"/>
    <x v="16"/>
    <x v="1"/>
    <s v="Battle Creek"/>
  </r>
  <r>
    <s v="SC_06_50046E"/>
    <x v="2"/>
    <x v="1"/>
    <x v="16"/>
    <x v="1"/>
    <s v="Battle Creek"/>
  </r>
  <r>
    <s v="SC_06_50047E"/>
    <x v="2"/>
    <x v="1"/>
    <x v="16"/>
    <x v="1"/>
    <s v="Battle Creek"/>
  </r>
  <r>
    <s v="SC_06_50048E"/>
    <x v="2"/>
    <x v="1"/>
    <x v="16"/>
    <x v="1"/>
    <s v="Battle Creek"/>
  </r>
  <r>
    <s v="SC_06_50051E"/>
    <x v="2"/>
    <x v="1"/>
    <x v="16"/>
    <x v="1"/>
    <s v="Battle Creek"/>
  </r>
  <r>
    <s v="SC_06_50052E"/>
    <x v="2"/>
    <x v="1"/>
    <x v="16"/>
    <x v="1"/>
    <s v="Battle Creek"/>
  </r>
  <r>
    <s v="SC_06_50053E"/>
    <x v="2"/>
    <x v="1"/>
    <x v="16"/>
    <x v="1"/>
    <s v="Battle Creek"/>
  </r>
  <r>
    <s v="SC_06_50054E"/>
    <x v="2"/>
    <x v="1"/>
    <x v="16"/>
    <x v="1"/>
    <s v="Battle Creek"/>
  </r>
  <r>
    <s v="SC_06_50100E"/>
    <x v="2"/>
    <x v="1"/>
    <x v="16"/>
    <x v="1"/>
    <s v="Battle Creek"/>
  </r>
  <r>
    <s v="SC_06_50101E"/>
    <x v="2"/>
    <x v="1"/>
    <x v="16"/>
    <x v="1"/>
    <s v="Battle Creek"/>
  </r>
  <r>
    <s v="SC_06_50102E"/>
    <x v="2"/>
    <x v="1"/>
    <x v="16"/>
    <x v="1"/>
    <s v="Battle Creek"/>
  </r>
  <r>
    <s v="SC_06_50103E"/>
    <x v="2"/>
    <x v="1"/>
    <x v="16"/>
    <x v="1"/>
    <s v="Battle Creek"/>
  </r>
  <r>
    <s v="SC_07_50005E"/>
    <x v="2"/>
    <x v="1"/>
    <x v="5"/>
    <x v="1"/>
    <s v="Battle Creek"/>
  </r>
  <r>
    <s v="SC_07_50006E"/>
    <x v="2"/>
    <x v="1"/>
    <x v="5"/>
    <x v="1"/>
    <s v="Battle Creek"/>
  </r>
  <r>
    <s v="SC_07_50007E"/>
    <x v="2"/>
    <x v="1"/>
    <x v="5"/>
    <x v="1"/>
    <s v="Battle Creek"/>
  </r>
  <r>
    <s v="SC_07_50009E"/>
    <x v="2"/>
    <x v="1"/>
    <x v="5"/>
    <x v="1"/>
    <s v="Battle Creek"/>
  </r>
  <r>
    <s v="SC_07_50015E"/>
    <x v="2"/>
    <x v="1"/>
    <x v="5"/>
    <x v="1"/>
    <s v="Battle Creek"/>
  </r>
  <r>
    <s v="SC_07_50016E"/>
    <x v="2"/>
    <x v="1"/>
    <x v="5"/>
    <x v="1"/>
    <s v="Battle Creek"/>
  </r>
  <r>
    <s v="SC_07_50017E"/>
    <x v="2"/>
    <x v="1"/>
    <x v="5"/>
    <x v="1"/>
    <s v="Battle Creek"/>
  </r>
  <r>
    <s v="SC_07_50018E"/>
    <x v="2"/>
    <x v="1"/>
    <x v="5"/>
    <x v="1"/>
    <s v="Battle Creek"/>
  </r>
  <r>
    <s v="SC_07_50019E"/>
    <x v="2"/>
    <x v="1"/>
    <x v="5"/>
    <x v="1"/>
    <s v="Battle Creek"/>
  </r>
  <r>
    <s v="SC_07_50020E"/>
    <x v="2"/>
    <x v="1"/>
    <x v="5"/>
    <x v="1"/>
    <s v="Battle Creek"/>
  </r>
  <r>
    <s v="SC_07_50021E"/>
    <x v="2"/>
    <x v="1"/>
    <x v="5"/>
    <x v="1"/>
    <s v="Battle Creek"/>
  </r>
  <r>
    <s v="SC_07_50022E"/>
    <x v="2"/>
    <x v="1"/>
    <x v="5"/>
    <x v="1"/>
    <s v="Battle Creek"/>
  </r>
  <r>
    <s v="SC_07_50024E"/>
    <x v="2"/>
    <x v="1"/>
    <x v="5"/>
    <x v="1"/>
    <s v="Battle Creek"/>
  </r>
  <r>
    <s v="SC_07_50025E"/>
    <x v="2"/>
    <x v="1"/>
    <x v="5"/>
    <x v="1"/>
    <s v="Battle Creek"/>
  </r>
  <r>
    <s v="SC_07_50026E"/>
    <x v="2"/>
    <x v="1"/>
    <x v="5"/>
    <x v="1"/>
    <s v="Battle Creek"/>
  </r>
  <r>
    <s v="SC_07_50028E"/>
    <x v="2"/>
    <x v="1"/>
    <x v="5"/>
    <x v="1"/>
    <s v="Battle Creek"/>
  </r>
  <r>
    <s v="SC_07_50031E"/>
    <x v="2"/>
    <x v="1"/>
    <x v="5"/>
    <x v="1"/>
    <s v="Battle Creek"/>
  </r>
  <r>
    <s v="SC_07_50032E"/>
    <x v="2"/>
    <x v="1"/>
    <x v="5"/>
    <x v="1"/>
    <s v="Battle Creek"/>
  </r>
  <r>
    <s v="SC_07_50033E"/>
    <x v="2"/>
    <x v="1"/>
    <x v="5"/>
    <x v="1"/>
    <s v="Battle Creek"/>
  </r>
  <r>
    <s v="SC_07_50034E"/>
    <x v="2"/>
    <x v="1"/>
    <x v="5"/>
    <x v="1"/>
    <s v="Battle Creek"/>
  </r>
  <r>
    <s v="SC_07_50040E"/>
    <x v="2"/>
    <x v="1"/>
    <x v="5"/>
    <x v="1"/>
    <s v="Battle Creek"/>
  </r>
  <r>
    <s v="SC_07_50041E"/>
    <x v="2"/>
    <x v="1"/>
    <x v="5"/>
    <x v="1"/>
    <s v="Battle Creek"/>
  </r>
  <r>
    <s v="SC_07_50042E"/>
    <x v="2"/>
    <x v="1"/>
    <x v="5"/>
    <x v="1"/>
    <s v="Battle Creek"/>
  </r>
  <r>
    <s v="SC_07_50043E"/>
    <x v="2"/>
    <x v="1"/>
    <x v="5"/>
    <x v="1"/>
    <s v="Battle Creek"/>
  </r>
  <r>
    <s v="SC_07_50044E"/>
    <x v="2"/>
    <x v="1"/>
    <x v="5"/>
    <x v="1"/>
    <s v="Battle Creek"/>
  </r>
  <r>
    <s v="SC_07_50046E"/>
    <x v="2"/>
    <x v="1"/>
    <x v="5"/>
    <x v="1"/>
    <s v="Battle Creek"/>
  </r>
  <r>
    <s v="SC_07_50047E"/>
    <x v="2"/>
    <x v="1"/>
    <x v="5"/>
    <x v="1"/>
    <s v="Battle Creek"/>
  </r>
  <r>
    <s v="SC_07_50048E"/>
    <x v="2"/>
    <x v="1"/>
    <x v="5"/>
    <x v="1"/>
    <s v="Battle Creek"/>
  </r>
  <r>
    <s v="SC_07_50049E"/>
    <x v="2"/>
    <x v="1"/>
    <x v="5"/>
    <x v="1"/>
    <s v="Battle Creek"/>
  </r>
  <r>
    <s v="SC_07_50050E"/>
    <x v="2"/>
    <x v="1"/>
    <x v="5"/>
    <x v="1"/>
    <s v="Battle Creek"/>
  </r>
  <r>
    <s v="SC_07_50054E"/>
    <x v="2"/>
    <x v="1"/>
    <x v="5"/>
    <x v="1"/>
    <s v="Battle Creek"/>
  </r>
  <r>
    <s v="SC_11_50004E"/>
    <x v="2"/>
    <x v="1"/>
    <x v="14"/>
    <x v="1"/>
    <s v="Battle Creek"/>
  </r>
  <r>
    <s v="SC_07_50057E"/>
    <x v="2"/>
    <x v="1"/>
    <x v="5"/>
    <x v="1"/>
    <s v="Battle Creek"/>
  </r>
  <r>
    <s v="SC_08_50007E"/>
    <x v="2"/>
    <x v="1"/>
    <x v="15"/>
    <x v="1"/>
    <s v="Battle Creek"/>
  </r>
  <r>
    <s v="SC_09_50004E"/>
    <x v="2"/>
    <x v="1"/>
    <x v="12"/>
    <x v="1"/>
    <s v="Battle Creek"/>
  </r>
  <r>
    <s v="SC_09_50015E"/>
    <x v="2"/>
    <x v="1"/>
    <x v="12"/>
    <x v="1"/>
    <s v="Battle Creek"/>
  </r>
  <r>
    <s v="SC_10_50002E"/>
    <x v="2"/>
    <x v="1"/>
    <x v="13"/>
    <x v="1"/>
    <s v="Battle Creek"/>
  </r>
  <r>
    <s v="SC_10_50012E"/>
    <x v="2"/>
    <x v="1"/>
    <x v="13"/>
    <x v="1"/>
    <s v="Battle Creek"/>
  </r>
  <r>
    <s v="SC_10_50058E"/>
    <x v="2"/>
    <x v="1"/>
    <x v="13"/>
    <x v="1"/>
    <s v="Battle Creek"/>
  </r>
  <r>
    <s v="SC_07_50056E"/>
    <x v="2"/>
    <x v="1"/>
    <x v="5"/>
    <x v="1"/>
    <s v="Battle Creek"/>
  </r>
  <r>
    <s v="SC_08_50006E"/>
    <x v="2"/>
    <x v="1"/>
    <x v="15"/>
    <x v="1"/>
    <s v="Battle Creek"/>
  </r>
  <r>
    <s v="SC_09_50003E"/>
    <x v="2"/>
    <x v="1"/>
    <x v="12"/>
    <x v="1"/>
    <s v="Battle Creek"/>
  </r>
  <r>
    <s v="SC_09_50014E"/>
    <x v="2"/>
    <x v="1"/>
    <x v="12"/>
    <x v="1"/>
    <s v="Battle Creek"/>
  </r>
  <r>
    <s v="SC_10_50000E"/>
    <x v="2"/>
    <x v="1"/>
    <x v="13"/>
    <x v="1"/>
    <s v="Battle Creek"/>
  </r>
  <r>
    <s v="SC_10_50057E"/>
    <x v="2"/>
    <x v="1"/>
    <x v="13"/>
    <x v="1"/>
    <s v="Battle Creek"/>
  </r>
  <r>
    <s v="SC_10_50071E"/>
    <x v="2"/>
    <x v="1"/>
    <x v="13"/>
    <x v="1"/>
    <s v="Battle Creek"/>
  </r>
  <r>
    <s v="SC_11_50000E"/>
    <x v="2"/>
    <x v="1"/>
    <x v="14"/>
    <x v="1"/>
    <s v="Battle Creek"/>
  </r>
  <r>
    <s v="SC_11_50019E"/>
    <x v="2"/>
    <x v="1"/>
    <x v="14"/>
    <x v="1"/>
    <s v="Battle Creek"/>
  </r>
  <r>
    <s v="SC_07_50055E"/>
    <x v="2"/>
    <x v="1"/>
    <x v="5"/>
    <x v="1"/>
    <s v="Battle Creek"/>
  </r>
  <r>
    <s v="SC_08_50005E"/>
    <x v="2"/>
    <x v="1"/>
    <x v="15"/>
    <x v="1"/>
    <s v="Battle Creek"/>
  </r>
  <r>
    <s v="SC_09_50001E"/>
    <x v="2"/>
    <x v="1"/>
    <x v="12"/>
    <x v="1"/>
    <s v="Battle Creek"/>
  </r>
  <r>
    <s v="SC_09_50013E"/>
    <x v="2"/>
    <x v="1"/>
    <x v="12"/>
    <x v="1"/>
    <s v="Battle Creek"/>
  </r>
  <r>
    <s v="SC_10_50010E"/>
    <x v="2"/>
    <x v="1"/>
    <x v="13"/>
    <x v="1"/>
    <s v="Battle Creek"/>
  </r>
  <r>
    <s v="SC_10_50069E"/>
    <x v="2"/>
    <x v="1"/>
    <x v="13"/>
    <x v="1"/>
    <s v="Battle Creek"/>
  </r>
  <r>
    <s v="SC_11_50018E"/>
    <x v="2"/>
    <x v="1"/>
    <x v="14"/>
    <x v="1"/>
    <s v="Battle Creek"/>
  </r>
  <r>
    <s v="SC_11_50003E"/>
    <x v="2"/>
    <x v="1"/>
    <x v="14"/>
    <x v="1"/>
    <s v="Battle Creek"/>
  </r>
  <r>
    <s v="SC_10_50011E"/>
    <x v="2"/>
    <x v="1"/>
    <x v="13"/>
    <x v="1"/>
    <s v="Battle Creek"/>
  </r>
  <r>
    <s v="YR20380"/>
    <x v="1"/>
    <x v="0"/>
    <x v="17"/>
    <x v="0"/>
    <s v="Lower Yuba River"/>
  </r>
  <r>
    <s v="YR20383"/>
    <x v="1"/>
    <x v="0"/>
    <x v="17"/>
    <x v="0"/>
    <s v="Lower Yuba River"/>
  </r>
  <r>
    <s v="YR20385"/>
    <x v="1"/>
    <x v="0"/>
    <x v="17"/>
    <x v="0"/>
    <s v="Lower Yuba River"/>
  </r>
  <r>
    <s v="YR20609"/>
    <x v="1"/>
    <x v="0"/>
    <x v="17"/>
    <x v="0"/>
    <s v="Lower Yuba River"/>
  </r>
  <r>
    <s v="YR20392"/>
    <x v="1"/>
    <x v="0"/>
    <x v="17"/>
    <x v="0"/>
    <s v="Lower Yuba River"/>
  </r>
  <r>
    <s v="YR20396"/>
    <x v="1"/>
    <x v="0"/>
    <x v="17"/>
    <x v="0"/>
    <s v="Lower Yuba River"/>
  </r>
  <r>
    <s v="YR20403"/>
    <x v="1"/>
    <x v="0"/>
    <x v="17"/>
    <x v="0"/>
    <s v="Lower Yuba River"/>
  </r>
  <r>
    <s v="YR20406"/>
    <x v="1"/>
    <x v="0"/>
    <x v="17"/>
    <x v="0"/>
    <s v="Lower Yuba River"/>
  </r>
  <r>
    <s v="YR20409"/>
    <x v="1"/>
    <x v="0"/>
    <x v="17"/>
    <x v="0"/>
    <s v="Lower Yuba River"/>
  </r>
  <r>
    <s v="YR20412"/>
    <x v="1"/>
    <x v="0"/>
    <x v="17"/>
    <x v="0"/>
    <s v="Lower Yuba River"/>
  </r>
  <r>
    <s v="YR20596"/>
    <x v="1"/>
    <x v="0"/>
    <x v="17"/>
    <x v="0"/>
    <s v="Lower Yuba River"/>
  </r>
  <r>
    <s v="YR20600"/>
    <x v="1"/>
    <x v="0"/>
    <x v="17"/>
    <x v="0"/>
    <s v="Lower Yuba River"/>
  </r>
  <r>
    <s v="YR20603"/>
    <x v="1"/>
    <x v="0"/>
    <x v="17"/>
    <x v="0"/>
    <s v="Lower Yuba River"/>
  </r>
  <r>
    <s v="YR20607"/>
    <x v="1"/>
    <x v="0"/>
    <x v="17"/>
    <x v="0"/>
    <s v="Lower Yuba River"/>
  </r>
  <r>
    <s v="YR20387"/>
    <x v="1"/>
    <x v="0"/>
    <x v="17"/>
    <x v="0"/>
    <s v="Lower Yuba River"/>
  </r>
  <r>
    <s v="YR20613"/>
    <x v="1"/>
    <x v="0"/>
    <x v="17"/>
    <x v="0"/>
    <s v="Lower Yuba River"/>
  </r>
  <r>
    <s v="YR20616"/>
    <x v="1"/>
    <x v="0"/>
    <x v="17"/>
    <x v="0"/>
    <s v="Lower Yuba River"/>
  </r>
  <r>
    <s v="YR20619"/>
    <x v="1"/>
    <x v="0"/>
    <x v="17"/>
    <x v="0"/>
    <s v="Lower Yuba River"/>
  </r>
  <r>
    <s v="YR20624"/>
    <x v="1"/>
    <x v="0"/>
    <x v="17"/>
    <x v="0"/>
    <s v="Lower Yuba River"/>
  </r>
  <r>
    <s v="YR20626"/>
    <x v="1"/>
    <x v="0"/>
    <x v="17"/>
    <x v="0"/>
    <s v="Lower Yuba Riv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C11CB-B310-4E99-9EFC-DA8E7CAB0C9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S10" firstHeaderRow="1" firstDataRow="2" firstDataCol="1" rowPageCount="1" colPageCount="1"/>
  <pivotFields count="6">
    <pivotField showAll="0"/>
    <pivotField axis="axisPage" multipleItemSelectionAllowed="1" showAll="0">
      <items count="4">
        <item x="2"/>
        <item x="0"/>
        <item h="1" x="1"/>
        <item t="default"/>
      </items>
    </pivotField>
    <pivotField axis="axisRow" showAll="0">
      <items count="3">
        <item x="1"/>
        <item x="0"/>
        <item t="default"/>
      </items>
    </pivotField>
    <pivotField axis="axisCol" dataField="1" showAll="0">
      <items count="19">
        <item x="0"/>
        <item x="17"/>
        <item x="6"/>
        <item x="16"/>
        <item x="5"/>
        <item x="15"/>
        <item x="12"/>
        <item x="13"/>
        <item x="14"/>
        <item x="8"/>
        <item x="11"/>
        <item x="4"/>
        <item x="3"/>
        <item x="9"/>
        <item x="1"/>
        <item x="2"/>
        <item x="7"/>
        <item x="10"/>
        <item t="default"/>
      </items>
    </pivotField>
    <pivotField axis="axisRow" showAll="0">
      <items count="4">
        <item x="0"/>
        <item m="1" x="2"/>
        <item x="1"/>
        <item t="default"/>
      </items>
    </pivotField>
    <pivotField showAll="0"/>
  </pivotFields>
  <rowFields count="2">
    <field x="4"/>
    <field x="2"/>
  </rowFields>
  <rowItems count="6">
    <i>
      <x/>
    </i>
    <i r="1">
      <x/>
    </i>
    <i r="1">
      <x v="1"/>
    </i>
    <i>
      <x v="2"/>
    </i>
    <i r="1">
      <x/>
    </i>
    <i t="grand">
      <x/>
    </i>
  </rowItems>
  <colFields count="1">
    <field x="3"/>
  </colFields>
  <colItems count="18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pageFields count="1">
    <pageField fld="1" hier="-1"/>
  </pageFields>
  <dataFields count="1">
    <dataField name="Count" fld="3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A6E51-9BA0-4729-AAEC-F29CAD0942EA}">
  <dimension ref="A1:S10"/>
  <sheetViews>
    <sheetView workbookViewId="0">
      <selection activeCell="L7" sqref="L7"/>
    </sheetView>
  </sheetViews>
  <sheetFormatPr defaultRowHeight="15" x14ac:dyDescent="0.25"/>
  <cols>
    <col min="1" max="1" width="13.42578125" bestFit="1" customWidth="1"/>
    <col min="2" max="2" width="17.28515625" bestFit="1" customWidth="1"/>
    <col min="3" max="18" width="5" bestFit="1" customWidth="1"/>
    <col min="19" max="20" width="11.28515625" bestFit="1" customWidth="1"/>
  </cols>
  <sheetData>
    <row r="1" spans="1:19" x14ac:dyDescent="0.25">
      <c r="A1" s="2" t="s">
        <v>3</v>
      </c>
      <c r="B1" t="s">
        <v>777</v>
      </c>
    </row>
    <row r="3" spans="1:19" x14ac:dyDescent="0.25">
      <c r="A3" s="2" t="s">
        <v>774</v>
      </c>
      <c r="B3" s="2" t="s">
        <v>776</v>
      </c>
    </row>
    <row r="4" spans="1:19" x14ac:dyDescent="0.25">
      <c r="A4" s="2" t="s">
        <v>772</v>
      </c>
      <c r="B4">
        <v>2000</v>
      </c>
      <c r="C4">
        <v>2005</v>
      </c>
      <c r="D4">
        <v>2006</v>
      </c>
      <c r="E4">
        <v>2007</v>
      </c>
      <c r="F4">
        <v>2008</v>
      </c>
      <c r="G4">
        <v>2009</v>
      </c>
      <c r="H4">
        <v>2010</v>
      </c>
      <c r="I4">
        <v>2011</v>
      </c>
      <c r="J4">
        <v>2012</v>
      </c>
      <c r="K4">
        <v>2013</v>
      </c>
      <c r="L4">
        <v>2014</v>
      </c>
      <c r="M4">
        <v>2015</v>
      </c>
      <c r="N4">
        <v>2016</v>
      </c>
      <c r="O4">
        <v>2018</v>
      </c>
      <c r="P4">
        <v>2019</v>
      </c>
      <c r="Q4">
        <v>2020</v>
      </c>
      <c r="R4">
        <v>2021</v>
      </c>
      <c r="S4" t="s">
        <v>773</v>
      </c>
    </row>
    <row r="5" spans="1:19" x14ac:dyDescent="0.25">
      <c r="A5" s="3" t="s">
        <v>11</v>
      </c>
      <c r="B5">
        <v>5</v>
      </c>
      <c r="C5">
        <v>1</v>
      </c>
      <c r="E5">
        <v>3</v>
      </c>
      <c r="L5">
        <v>23</v>
      </c>
      <c r="M5">
        <v>5</v>
      </c>
      <c r="O5">
        <v>7</v>
      </c>
      <c r="P5">
        <v>9</v>
      </c>
      <c r="Q5">
        <v>1</v>
      </c>
      <c r="S5">
        <v>54</v>
      </c>
    </row>
    <row r="6" spans="1:19" x14ac:dyDescent="0.25">
      <c r="A6" s="4" t="s">
        <v>127</v>
      </c>
      <c r="C6">
        <v>1</v>
      </c>
      <c r="E6">
        <v>3</v>
      </c>
      <c r="O6">
        <v>7</v>
      </c>
      <c r="S6">
        <v>11</v>
      </c>
    </row>
    <row r="7" spans="1:19" x14ac:dyDescent="0.25">
      <c r="A7" s="4" t="s">
        <v>15</v>
      </c>
      <c r="B7">
        <v>5</v>
      </c>
      <c r="L7">
        <v>23</v>
      </c>
      <c r="M7">
        <v>5</v>
      </c>
      <c r="P7">
        <v>9</v>
      </c>
      <c r="Q7">
        <v>1</v>
      </c>
      <c r="S7">
        <v>43</v>
      </c>
    </row>
    <row r="8" spans="1:19" x14ac:dyDescent="0.25">
      <c r="A8" s="3" t="s">
        <v>775</v>
      </c>
      <c r="C8">
        <v>4</v>
      </c>
      <c r="D8">
        <v>37</v>
      </c>
      <c r="E8">
        <v>35</v>
      </c>
      <c r="F8">
        <v>6</v>
      </c>
      <c r="G8">
        <v>19</v>
      </c>
      <c r="H8">
        <v>29</v>
      </c>
      <c r="I8">
        <v>11</v>
      </c>
      <c r="J8">
        <v>80</v>
      </c>
      <c r="K8">
        <v>22</v>
      </c>
      <c r="L8">
        <v>19</v>
      </c>
      <c r="M8">
        <v>3</v>
      </c>
      <c r="N8">
        <v>1</v>
      </c>
      <c r="O8">
        <v>4</v>
      </c>
      <c r="P8">
        <v>2</v>
      </c>
      <c r="Q8">
        <v>1</v>
      </c>
      <c r="R8">
        <v>18</v>
      </c>
      <c r="S8">
        <v>291</v>
      </c>
    </row>
    <row r="9" spans="1:19" x14ac:dyDescent="0.25">
      <c r="A9" s="4" t="s">
        <v>127</v>
      </c>
      <c r="C9">
        <v>4</v>
      </c>
      <c r="D9">
        <v>37</v>
      </c>
      <c r="E9">
        <v>35</v>
      </c>
      <c r="F9">
        <v>6</v>
      </c>
      <c r="G9">
        <v>19</v>
      </c>
      <c r="H9">
        <v>29</v>
      </c>
      <c r="I9">
        <v>11</v>
      </c>
      <c r="J9">
        <v>80</v>
      </c>
      <c r="K9">
        <v>22</v>
      </c>
      <c r="L9">
        <v>19</v>
      </c>
      <c r="M9">
        <v>3</v>
      </c>
      <c r="N9">
        <v>1</v>
      </c>
      <c r="O9">
        <v>4</v>
      </c>
      <c r="P9">
        <v>2</v>
      </c>
      <c r="Q9">
        <v>1</v>
      </c>
      <c r="R9">
        <v>18</v>
      </c>
      <c r="S9">
        <v>291</v>
      </c>
    </row>
    <row r="10" spans="1:19" x14ac:dyDescent="0.25">
      <c r="A10" s="3" t="s">
        <v>773</v>
      </c>
      <c r="B10">
        <v>5</v>
      </c>
      <c r="C10">
        <v>5</v>
      </c>
      <c r="D10">
        <v>37</v>
      </c>
      <c r="E10">
        <v>38</v>
      </c>
      <c r="F10">
        <v>6</v>
      </c>
      <c r="G10">
        <v>19</v>
      </c>
      <c r="H10">
        <v>29</v>
      </c>
      <c r="I10">
        <v>11</v>
      </c>
      <c r="J10">
        <v>80</v>
      </c>
      <c r="K10">
        <v>22</v>
      </c>
      <c r="L10">
        <v>42</v>
      </c>
      <c r="M10">
        <v>8</v>
      </c>
      <c r="N10">
        <v>1</v>
      </c>
      <c r="O10">
        <v>11</v>
      </c>
      <c r="P10">
        <v>11</v>
      </c>
      <c r="Q10">
        <v>2</v>
      </c>
      <c r="R10">
        <v>18</v>
      </c>
      <c r="S10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1DA3-53F3-4750-A988-8F9A5FDC1E54}">
  <sheetPr filterMode="1"/>
  <dimension ref="A1:X376"/>
  <sheetViews>
    <sheetView tabSelected="1" workbookViewId="0">
      <selection activeCell="K268" sqref="K268"/>
    </sheetView>
  </sheetViews>
  <sheetFormatPr defaultRowHeight="15" x14ac:dyDescent="0.25"/>
  <cols>
    <col min="2" max="2" width="11.140625" bestFit="1" customWidth="1"/>
    <col min="6" max="6" width="17.28515625" bestFit="1" customWidth="1"/>
    <col min="7" max="7" width="11.5703125" style="1" bestFit="1" customWidth="1"/>
    <col min="12" max="12" width="28.28515625" bestFit="1" customWidth="1"/>
  </cols>
  <sheetData>
    <row r="1" spans="1:24" x14ac:dyDescent="0.25">
      <c r="A1" t="s">
        <v>0</v>
      </c>
      <c r="B1" t="s">
        <v>3</v>
      </c>
      <c r="C1" t="s">
        <v>8</v>
      </c>
      <c r="D1" t="s">
        <v>4</v>
      </c>
      <c r="E1" t="s">
        <v>1</v>
      </c>
      <c r="F1" t="s">
        <v>2</v>
      </c>
      <c r="G1" s="1" t="s">
        <v>5</v>
      </c>
      <c r="H1" t="s">
        <v>6</v>
      </c>
      <c r="I1" t="s">
        <v>7</v>
      </c>
      <c r="J1" t="s">
        <v>9</v>
      </c>
      <c r="K1" t="s">
        <v>779</v>
      </c>
      <c r="L1" t="s">
        <v>770</v>
      </c>
      <c r="M1" t="s">
        <v>802</v>
      </c>
    </row>
    <row r="2" spans="1:24" x14ac:dyDescent="0.25">
      <c r="A2" t="s">
        <v>88</v>
      </c>
      <c r="B2" t="s">
        <v>77</v>
      </c>
      <c r="C2" t="s">
        <v>15</v>
      </c>
      <c r="D2">
        <v>2000</v>
      </c>
      <c r="E2" t="s">
        <v>11</v>
      </c>
      <c r="F2" t="s">
        <v>77</v>
      </c>
      <c r="J2" t="s">
        <v>89</v>
      </c>
      <c r="M2" t="e">
        <f>VLOOKUP(A2,assignments!A:Y,3,FALSE)</f>
        <v>#N/A</v>
      </c>
    </row>
    <row r="3" spans="1:24" x14ac:dyDescent="0.25">
      <c r="A3" t="s">
        <v>92</v>
      </c>
      <c r="B3" t="s">
        <v>77</v>
      </c>
      <c r="C3" t="s">
        <v>15</v>
      </c>
      <c r="D3">
        <v>2000</v>
      </c>
      <c r="E3" t="s">
        <v>11</v>
      </c>
      <c r="F3" t="s">
        <v>77</v>
      </c>
      <c r="J3" t="s">
        <v>93</v>
      </c>
      <c r="M3" t="e">
        <f>VLOOKUP(A3,assignments!A:Y,3,FALSE)</f>
        <v>#N/A</v>
      </c>
    </row>
    <row r="4" spans="1:24" x14ac:dyDescent="0.25">
      <c r="A4" t="s">
        <v>90</v>
      </c>
      <c r="B4" t="s">
        <v>77</v>
      </c>
      <c r="C4" t="s">
        <v>15</v>
      </c>
      <c r="D4">
        <v>2000</v>
      </c>
      <c r="E4" t="s">
        <v>11</v>
      </c>
      <c r="F4" t="s">
        <v>77</v>
      </c>
      <c r="J4" t="s">
        <v>91</v>
      </c>
      <c r="M4" t="e">
        <f>VLOOKUP(A4,assignments!A:Y,3,FALSE)</f>
        <v>#N/A</v>
      </c>
    </row>
    <row r="5" spans="1:24" x14ac:dyDescent="0.25">
      <c r="A5" t="s">
        <v>94</v>
      </c>
      <c r="B5" t="s">
        <v>77</v>
      </c>
      <c r="C5" t="s">
        <v>15</v>
      </c>
      <c r="D5">
        <v>2000</v>
      </c>
      <c r="E5" t="s">
        <v>11</v>
      </c>
      <c r="F5" t="s">
        <v>77</v>
      </c>
      <c r="J5" t="s">
        <v>95</v>
      </c>
      <c r="M5" t="e">
        <f>VLOOKUP(A5,assignments!A:Y,3,FALSE)</f>
        <v>#N/A</v>
      </c>
    </row>
    <row r="6" spans="1:24" x14ac:dyDescent="0.25">
      <c r="A6" t="s">
        <v>96</v>
      </c>
      <c r="B6" t="s">
        <v>77</v>
      </c>
      <c r="C6" t="s">
        <v>15</v>
      </c>
      <c r="D6">
        <v>2000</v>
      </c>
      <c r="E6" t="s">
        <v>11</v>
      </c>
      <c r="F6" t="s">
        <v>77</v>
      </c>
      <c r="J6" t="s">
        <v>97</v>
      </c>
      <c r="M6" t="e">
        <f>VLOOKUP(A6,assignments!A:Y,3,FALSE)</f>
        <v>#N/A</v>
      </c>
    </row>
    <row r="7" spans="1:24" x14ac:dyDescent="0.25">
      <c r="A7" t="s">
        <v>80</v>
      </c>
      <c r="B7" t="s">
        <v>77</v>
      </c>
      <c r="C7" t="s">
        <v>15</v>
      </c>
      <c r="D7">
        <v>2014</v>
      </c>
      <c r="E7" t="s">
        <v>11</v>
      </c>
      <c r="F7" t="s">
        <v>77</v>
      </c>
      <c r="G7" s="1">
        <v>41737</v>
      </c>
      <c r="H7" t="s">
        <v>14</v>
      </c>
      <c r="I7">
        <v>65</v>
      </c>
      <c r="J7" t="s">
        <v>81</v>
      </c>
      <c r="M7" t="e">
        <f>VLOOKUP(A7,assignments!A:Y,3,FALSE)</f>
        <v>#N/A</v>
      </c>
    </row>
    <row r="8" spans="1:24" hidden="1" x14ac:dyDescent="0.25">
      <c r="A8" t="s">
        <v>25</v>
      </c>
      <c r="B8" t="s">
        <v>13</v>
      </c>
      <c r="C8" t="s">
        <v>15</v>
      </c>
      <c r="D8">
        <v>2019</v>
      </c>
      <c r="E8" t="s">
        <v>11</v>
      </c>
      <c r="F8" t="s">
        <v>12</v>
      </c>
      <c r="G8" s="1">
        <v>43577</v>
      </c>
      <c r="H8" t="s">
        <v>14</v>
      </c>
      <c r="I8">
        <v>49</v>
      </c>
      <c r="J8" t="s">
        <v>26</v>
      </c>
      <c r="K8" t="s">
        <v>778</v>
      </c>
      <c r="V8" t="s">
        <v>594</v>
      </c>
      <c r="W8">
        <v>2006</v>
      </c>
      <c r="X8" t="s">
        <v>807</v>
      </c>
    </row>
    <row r="9" spans="1:24" hidden="1" x14ac:dyDescent="0.25">
      <c r="A9" t="s">
        <v>29</v>
      </c>
      <c r="B9" t="s">
        <v>13</v>
      </c>
      <c r="C9" t="s">
        <v>15</v>
      </c>
      <c r="D9">
        <v>2019</v>
      </c>
      <c r="E9" t="s">
        <v>11</v>
      </c>
      <c r="F9" t="s">
        <v>12</v>
      </c>
      <c r="G9" s="1">
        <v>43577</v>
      </c>
      <c r="H9" t="s">
        <v>14</v>
      </c>
      <c r="I9">
        <v>43</v>
      </c>
      <c r="J9" t="s">
        <v>30</v>
      </c>
      <c r="K9" t="s">
        <v>778</v>
      </c>
      <c r="V9" t="s">
        <v>590</v>
      </c>
      <c r="W9">
        <v>2006</v>
      </c>
      <c r="X9" t="s">
        <v>808</v>
      </c>
    </row>
    <row r="10" spans="1:24" hidden="1" x14ac:dyDescent="0.25">
      <c r="A10" t="s">
        <v>10</v>
      </c>
      <c r="B10" t="s">
        <v>13</v>
      </c>
      <c r="C10" t="s">
        <v>15</v>
      </c>
      <c r="D10">
        <v>2019</v>
      </c>
      <c r="E10" t="s">
        <v>11</v>
      </c>
      <c r="F10" t="s">
        <v>12</v>
      </c>
      <c r="G10" s="1">
        <v>43577</v>
      </c>
      <c r="H10" t="s">
        <v>14</v>
      </c>
      <c r="I10">
        <v>62</v>
      </c>
      <c r="J10" t="s">
        <v>16</v>
      </c>
      <c r="K10" t="s">
        <v>778</v>
      </c>
      <c r="V10" t="s">
        <v>588</v>
      </c>
      <c r="W10">
        <v>2006</v>
      </c>
      <c r="X10" t="s">
        <v>804</v>
      </c>
    </row>
    <row r="11" spans="1:24" hidden="1" x14ac:dyDescent="0.25">
      <c r="A11" t="s">
        <v>21</v>
      </c>
      <c r="B11" t="s">
        <v>13</v>
      </c>
      <c r="C11" t="s">
        <v>15</v>
      </c>
      <c r="D11">
        <v>2019</v>
      </c>
      <c r="E11" t="s">
        <v>11</v>
      </c>
      <c r="F11" t="s">
        <v>12</v>
      </c>
      <c r="G11" s="1">
        <v>43577</v>
      </c>
      <c r="H11" t="s">
        <v>14</v>
      </c>
      <c r="I11">
        <v>47</v>
      </c>
      <c r="J11" t="s">
        <v>22</v>
      </c>
      <c r="K11" t="s">
        <v>778</v>
      </c>
      <c r="V11" t="s">
        <v>586</v>
      </c>
      <c r="W11">
        <v>2006</v>
      </c>
      <c r="X11" t="s">
        <v>803</v>
      </c>
    </row>
    <row r="12" spans="1:24" hidden="1" x14ac:dyDescent="0.25">
      <c r="A12" t="s">
        <v>19</v>
      </c>
      <c r="B12" t="s">
        <v>13</v>
      </c>
      <c r="C12" t="s">
        <v>15</v>
      </c>
      <c r="D12">
        <v>2019</v>
      </c>
      <c r="E12" t="s">
        <v>11</v>
      </c>
      <c r="F12" t="s">
        <v>12</v>
      </c>
      <c r="G12" s="1">
        <v>43577</v>
      </c>
      <c r="H12" t="s">
        <v>14</v>
      </c>
      <c r="I12">
        <v>47</v>
      </c>
      <c r="J12" t="s">
        <v>20</v>
      </c>
      <c r="K12" t="s">
        <v>778</v>
      </c>
      <c r="V12" t="s">
        <v>584</v>
      </c>
      <c r="W12">
        <v>2006</v>
      </c>
      <c r="X12" t="s">
        <v>803</v>
      </c>
    </row>
    <row r="13" spans="1:24" hidden="1" x14ac:dyDescent="0.25">
      <c r="A13" t="s">
        <v>31</v>
      </c>
      <c r="B13" t="s">
        <v>13</v>
      </c>
      <c r="C13" t="s">
        <v>15</v>
      </c>
      <c r="D13">
        <v>2019</v>
      </c>
      <c r="E13" t="s">
        <v>11</v>
      </c>
      <c r="F13" t="s">
        <v>12</v>
      </c>
      <c r="G13" s="1">
        <v>43577</v>
      </c>
      <c r="H13" t="s">
        <v>14</v>
      </c>
      <c r="I13">
        <v>42</v>
      </c>
      <c r="J13" t="s">
        <v>32</v>
      </c>
      <c r="K13" t="s">
        <v>778</v>
      </c>
      <c r="V13" t="s">
        <v>582</v>
      </c>
      <c r="W13">
        <v>2006</v>
      </c>
      <c r="X13" t="s">
        <v>807</v>
      </c>
    </row>
    <row r="14" spans="1:24" hidden="1" x14ac:dyDescent="0.25">
      <c r="A14" t="s">
        <v>23</v>
      </c>
      <c r="B14" t="s">
        <v>13</v>
      </c>
      <c r="C14" t="s">
        <v>15</v>
      </c>
      <c r="D14">
        <v>2019</v>
      </c>
      <c r="E14" t="s">
        <v>11</v>
      </c>
      <c r="F14" t="s">
        <v>12</v>
      </c>
      <c r="G14" s="1">
        <v>43577</v>
      </c>
      <c r="H14" t="s">
        <v>14</v>
      </c>
      <c r="I14">
        <v>51</v>
      </c>
      <c r="J14" t="s">
        <v>24</v>
      </c>
      <c r="K14" t="s">
        <v>778</v>
      </c>
      <c r="V14" t="s">
        <v>598</v>
      </c>
      <c r="W14">
        <v>2006</v>
      </c>
      <c r="X14" t="s">
        <v>807</v>
      </c>
    </row>
    <row r="15" spans="1:24" hidden="1" x14ac:dyDescent="0.25">
      <c r="A15" t="s">
        <v>27</v>
      </c>
      <c r="B15" t="s">
        <v>13</v>
      </c>
      <c r="C15" t="s">
        <v>15</v>
      </c>
      <c r="D15">
        <v>2019</v>
      </c>
      <c r="E15" t="s">
        <v>11</v>
      </c>
      <c r="F15" t="s">
        <v>12</v>
      </c>
      <c r="G15" s="1">
        <v>43577</v>
      </c>
      <c r="H15" t="s">
        <v>14</v>
      </c>
      <c r="I15">
        <v>51</v>
      </c>
      <c r="J15" t="s">
        <v>28</v>
      </c>
      <c r="K15" t="s">
        <v>778</v>
      </c>
      <c r="V15" t="s">
        <v>600</v>
      </c>
      <c r="W15">
        <v>2006</v>
      </c>
      <c r="X15" t="s">
        <v>807</v>
      </c>
    </row>
    <row r="16" spans="1:24" hidden="1" x14ac:dyDescent="0.25">
      <c r="A16" t="s">
        <v>33</v>
      </c>
      <c r="B16" t="s">
        <v>13</v>
      </c>
      <c r="C16" t="s">
        <v>15</v>
      </c>
      <c r="D16">
        <v>2019</v>
      </c>
      <c r="E16" t="s">
        <v>11</v>
      </c>
      <c r="F16" t="s">
        <v>12</v>
      </c>
      <c r="G16" s="1">
        <v>43577</v>
      </c>
      <c r="H16" t="s">
        <v>14</v>
      </c>
      <c r="I16">
        <v>36</v>
      </c>
      <c r="J16" t="s">
        <v>34</v>
      </c>
      <c r="K16" t="s">
        <v>778</v>
      </c>
      <c r="V16" t="s">
        <v>602</v>
      </c>
      <c r="W16">
        <v>2006</v>
      </c>
      <c r="X16" t="s">
        <v>809</v>
      </c>
    </row>
    <row r="17" spans="1:24" hidden="1" x14ac:dyDescent="0.25">
      <c r="A17" t="s">
        <v>17</v>
      </c>
      <c r="B17" t="s">
        <v>13</v>
      </c>
      <c r="C17" t="s">
        <v>15</v>
      </c>
      <c r="D17">
        <v>2019</v>
      </c>
      <c r="E17" t="s">
        <v>11</v>
      </c>
      <c r="F17" t="s">
        <v>12</v>
      </c>
      <c r="G17" s="1">
        <v>43577</v>
      </c>
      <c r="H17" t="s">
        <v>14</v>
      </c>
      <c r="I17">
        <v>53</v>
      </c>
      <c r="J17" t="s">
        <v>18</v>
      </c>
      <c r="K17" t="s">
        <v>778</v>
      </c>
      <c r="V17" t="s">
        <v>604</v>
      </c>
      <c r="W17">
        <v>2006</v>
      </c>
      <c r="X17" t="s">
        <v>804</v>
      </c>
    </row>
    <row r="18" spans="1:24" x14ac:dyDescent="0.25">
      <c r="A18" t="s">
        <v>86</v>
      </c>
      <c r="B18" t="s">
        <v>77</v>
      </c>
      <c r="C18" t="s">
        <v>15</v>
      </c>
      <c r="D18">
        <v>2014</v>
      </c>
      <c r="E18" t="s">
        <v>11</v>
      </c>
      <c r="F18" t="s">
        <v>77</v>
      </c>
      <c r="G18" s="1">
        <v>41744</v>
      </c>
      <c r="H18" t="s">
        <v>14</v>
      </c>
      <c r="I18">
        <v>70</v>
      </c>
      <c r="J18" t="s">
        <v>87</v>
      </c>
      <c r="M18" t="e">
        <f>VLOOKUP(A18,assignments!A:Y,3,FALSE)</f>
        <v>#N/A</v>
      </c>
    </row>
    <row r="19" spans="1:24" x14ac:dyDescent="0.25">
      <c r="A19" t="s">
        <v>76</v>
      </c>
      <c r="B19" t="s">
        <v>77</v>
      </c>
      <c r="C19" t="s">
        <v>15</v>
      </c>
      <c r="D19">
        <v>2014</v>
      </c>
      <c r="E19" t="s">
        <v>11</v>
      </c>
      <c r="F19" t="s">
        <v>77</v>
      </c>
      <c r="G19" s="1">
        <v>41737</v>
      </c>
      <c r="H19" t="s">
        <v>14</v>
      </c>
      <c r="I19">
        <v>73</v>
      </c>
      <c r="J19" t="s">
        <v>79</v>
      </c>
      <c r="M19" t="e">
        <f>VLOOKUP(A19,assignments!A:Y,3,FALSE)</f>
        <v>#N/A</v>
      </c>
    </row>
    <row r="20" spans="1:24" x14ac:dyDescent="0.25">
      <c r="A20" t="s">
        <v>116</v>
      </c>
      <c r="B20" t="s">
        <v>77</v>
      </c>
      <c r="C20" t="s">
        <v>15</v>
      </c>
      <c r="D20">
        <v>2015</v>
      </c>
      <c r="E20" t="s">
        <v>11</v>
      </c>
      <c r="F20" t="s">
        <v>77</v>
      </c>
      <c r="G20" s="1">
        <v>42192</v>
      </c>
      <c r="I20">
        <v>88</v>
      </c>
      <c r="J20" t="s">
        <v>117</v>
      </c>
      <c r="M20" t="e">
        <f>VLOOKUP(A20,assignments!A:Y,3,FALSE)</f>
        <v>#N/A</v>
      </c>
    </row>
    <row r="21" spans="1:24" x14ac:dyDescent="0.25">
      <c r="A21" t="s">
        <v>118</v>
      </c>
      <c r="B21" t="s">
        <v>77</v>
      </c>
      <c r="C21" t="s">
        <v>15</v>
      </c>
      <c r="D21">
        <v>2015</v>
      </c>
      <c r="E21" t="s">
        <v>11</v>
      </c>
      <c r="F21" t="s">
        <v>77</v>
      </c>
      <c r="G21" s="1">
        <v>42192</v>
      </c>
      <c r="I21">
        <v>95</v>
      </c>
      <c r="J21" t="s">
        <v>119</v>
      </c>
      <c r="M21" t="e">
        <f>VLOOKUP(A21,assignments!A:Y,3,FALSE)</f>
        <v>#N/A</v>
      </c>
    </row>
    <row r="22" spans="1:24" x14ac:dyDescent="0.25">
      <c r="A22" t="s">
        <v>122</v>
      </c>
      <c r="B22" t="s">
        <v>77</v>
      </c>
      <c r="C22" t="s">
        <v>15</v>
      </c>
      <c r="D22">
        <v>2015</v>
      </c>
      <c r="E22" t="s">
        <v>11</v>
      </c>
      <c r="F22" t="s">
        <v>77</v>
      </c>
      <c r="G22" s="1">
        <v>42192</v>
      </c>
      <c r="I22">
        <v>78</v>
      </c>
      <c r="J22" t="s">
        <v>123</v>
      </c>
      <c r="M22" t="e">
        <f>VLOOKUP(A22,assignments!A:Y,3,FALSE)</f>
        <v>#N/A</v>
      </c>
    </row>
    <row r="23" spans="1:24" x14ac:dyDescent="0.25">
      <c r="A23" t="s">
        <v>139</v>
      </c>
      <c r="B23" t="s">
        <v>77</v>
      </c>
      <c r="C23" t="s">
        <v>127</v>
      </c>
      <c r="D23">
        <v>2018</v>
      </c>
      <c r="E23" t="s">
        <v>11</v>
      </c>
      <c r="F23" t="s">
        <v>77</v>
      </c>
      <c r="G23" s="1">
        <v>43393</v>
      </c>
      <c r="H23" t="s">
        <v>14</v>
      </c>
      <c r="I23">
        <v>580</v>
      </c>
      <c r="J23" t="s">
        <v>140</v>
      </c>
      <c r="M23" t="e">
        <f>VLOOKUP(A23,assignments!A:Y,3,FALSE)</f>
        <v>#N/A</v>
      </c>
    </row>
    <row r="24" spans="1:24" hidden="1" x14ac:dyDescent="0.25">
      <c r="A24" t="s">
        <v>84</v>
      </c>
      <c r="B24" t="s">
        <v>77</v>
      </c>
      <c r="C24" t="s">
        <v>15</v>
      </c>
      <c r="D24">
        <v>2014</v>
      </c>
      <c r="E24" t="s">
        <v>11</v>
      </c>
      <c r="F24" t="s">
        <v>77</v>
      </c>
      <c r="G24" s="1">
        <v>41744</v>
      </c>
      <c r="H24" t="s">
        <v>14</v>
      </c>
      <c r="I24">
        <v>68</v>
      </c>
      <c r="J24" t="s">
        <v>85</v>
      </c>
      <c r="K24" t="s">
        <v>778</v>
      </c>
      <c r="V24" t="s">
        <v>618</v>
      </c>
      <c r="W24">
        <v>2006</v>
      </c>
      <c r="X24" t="s">
        <v>805</v>
      </c>
    </row>
    <row r="25" spans="1:24" hidden="1" x14ac:dyDescent="0.25">
      <c r="A25" t="s">
        <v>120</v>
      </c>
      <c r="B25" t="s">
        <v>77</v>
      </c>
      <c r="C25" t="s">
        <v>15</v>
      </c>
      <c r="D25">
        <v>2015</v>
      </c>
      <c r="E25" t="s">
        <v>11</v>
      </c>
      <c r="F25" t="s">
        <v>77</v>
      </c>
      <c r="G25" s="1">
        <v>42192</v>
      </c>
      <c r="I25">
        <v>87</v>
      </c>
      <c r="J25" t="s">
        <v>121</v>
      </c>
      <c r="K25" t="s">
        <v>778</v>
      </c>
      <c r="V25" t="s">
        <v>620</v>
      </c>
      <c r="W25">
        <v>2006</v>
      </c>
      <c r="X25" t="s">
        <v>803</v>
      </c>
    </row>
    <row r="26" spans="1:24" hidden="1" x14ac:dyDescent="0.25">
      <c r="A26" t="s">
        <v>82</v>
      </c>
      <c r="B26" t="s">
        <v>77</v>
      </c>
      <c r="C26" t="s">
        <v>15</v>
      </c>
      <c r="D26">
        <v>2014</v>
      </c>
      <c r="E26" t="s">
        <v>11</v>
      </c>
      <c r="F26" t="s">
        <v>77</v>
      </c>
      <c r="G26" s="1">
        <v>41737</v>
      </c>
      <c r="H26" t="s">
        <v>14</v>
      </c>
      <c r="I26">
        <v>69</v>
      </c>
      <c r="J26" t="s">
        <v>83</v>
      </c>
      <c r="K26" t="s">
        <v>778</v>
      </c>
      <c r="V26" t="s">
        <v>622</v>
      </c>
      <c r="W26">
        <v>2006</v>
      </c>
      <c r="X26" t="s">
        <v>808</v>
      </c>
    </row>
    <row r="27" spans="1:24" hidden="1" x14ac:dyDescent="0.25">
      <c r="A27" t="s">
        <v>124</v>
      </c>
      <c r="B27" t="s">
        <v>77</v>
      </c>
      <c r="C27" t="s">
        <v>15</v>
      </c>
      <c r="D27">
        <v>2015</v>
      </c>
      <c r="E27" t="s">
        <v>11</v>
      </c>
      <c r="F27" t="s">
        <v>77</v>
      </c>
      <c r="G27" s="1">
        <v>42192</v>
      </c>
      <c r="I27">
        <v>95</v>
      </c>
      <c r="J27" t="s">
        <v>125</v>
      </c>
      <c r="K27" t="s">
        <v>778</v>
      </c>
      <c r="V27" t="s">
        <v>624</v>
      </c>
      <c r="W27">
        <v>2006</v>
      </c>
      <c r="X27" t="s">
        <v>807</v>
      </c>
    </row>
    <row r="28" spans="1:24" hidden="1" x14ac:dyDescent="0.25">
      <c r="A28" t="s">
        <v>98</v>
      </c>
      <c r="B28" t="s">
        <v>77</v>
      </c>
      <c r="C28" t="s">
        <v>15</v>
      </c>
      <c r="D28">
        <v>2019</v>
      </c>
      <c r="E28" t="s">
        <v>11</v>
      </c>
      <c r="F28" t="s">
        <v>77</v>
      </c>
      <c r="G28" s="1">
        <v>43586</v>
      </c>
      <c r="H28" t="s">
        <v>14</v>
      </c>
      <c r="I28">
        <v>72</v>
      </c>
      <c r="J28" t="s">
        <v>99</v>
      </c>
      <c r="K28" t="s">
        <v>778</v>
      </c>
      <c r="V28" t="s">
        <v>626</v>
      </c>
      <c r="W28">
        <v>2006</v>
      </c>
      <c r="X28" t="s">
        <v>807</v>
      </c>
    </row>
    <row r="29" spans="1:24" hidden="1" x14ac:dyDescent="0.25">
      <c r="A29" t="s">
        <v>100</v>
      </c>
      <c r="B29" t="s">
        <v>77</v>
      </c>
      <c r="C29" t="s">
        <v>15</v>
      </c>
      <c r="D29">
        <v>2019</v>
      </c>
      <c r="E29" t="s">
        <v>11</v>
      </c>
      <c r="F29" t="s">
        <v>77</v>
      </c>
      <c r="G29" s="1">
        <v>43586</v>
      </c>
      <c r="H29" t="s">
        <v>14</v>
      </c>
      <c r="I29">
        <v>65</v>
      </c>
      <c r="J29" t="s">
        <v>101</v>
      </c>
      <c r="K29" t="s">
        <v>778</v>
      </c>
      <c r="V29" t="s">
        <v>628</v>
      </c>
      <c r="W29">
        <v>2006</v>
      </c>
      <c r="X29" t="s">
        <v>803</v>
      </c>
    </row>
    <row r="30" spans="1:24" hidden="1" x14ac:dyDescent="0.25">
      <c r="A30" t="s">
        <v>102</v>
      </c>
      <c r="B30" t="s">
        <v>77</v>
      </c>
      <c r="C30" t="s">
        <v>15</v>
      </c>
      <c r="D30">
        <v>2019</v>
      </c>
      <c r="E30" t="s">
        <v>11</v>
      </c>
      <c r="F30" t="s">
        <v>77</v>
      </c>
      <c r="G30" s="1">
        <v>43586</v>
      </c>
      <c r="H30" t="s">
        <v>14</v>
      </c>
      <c r="I30">
        <v>76</v>
      </c>
      <c r="J30" t="s">
        <v>103</v>
      </c>
      <c r="K30" t="s">
        <v>778</v>
      </c>
      <c r="V30" t="s">
        <v>630</v>
      </c>
      <c r="W30">
        <v>2006</v>
      </c>
      <c r="X30" t="s">
        <v>803</v>
      </c>
    </row>
    <row r="31" spans="1:24" hidden="1" x14ac:dyDescent="0.25">
      <c r="A31" t="s">
        <v>104</v>
      </c>
      <c r="B31" t="s">
        <v>77</v>
      </c>
      <c r="C31" t="s">
        <v>15</v>
      </c>
      <c r="D31">
        <v>2019</v>
      </c>
      <c r="E31" t="s">
        <v>11</v>
      </c>
      <c r="F31" t="s">
        <v>77</v>
      </c>
      <c r="G31" s="1">
        <v>43586</v>
      </c>
      <c r="H31" t="s">
        <v>14</v>
      </c>
      <c r="I31">
        <v>81</v>
      </c>
      <c r="J31" t="s">
        <v>105</v>
      </c>
      <c r="K31" t="s">
        <v>778</v>
      </c>
      <c r="V31" t="s">
        <v>632</v>
      </c>
      <c r="W31">
        <v>2006</v>
      </c>
      <c r="X31" t="s">
        <v>807</v>
      </c>
    </row>
    <row r="32" spans="1:24" x14ac:dyDescent="0.25">
      <c r="A32" t="s">
        <v>126</v>
      </c>
      <c r="B32" t="s">
        <v>77</v>
      </c>
      <c r="C32" t="s">
        <v>127</v>
      </c>
      <c r="D32">
        <v>2018</v>
      </c>
      <c r="E32" t="s">
        <v>11</v>
      </c>
      <c r="F32" t="s">
        <v>77</v>
      </c>
      <c r="G32" s="1">
        <v>43393</v>
      </c>
      <c r="H32" t="s">
        <v>14</v>
      </c>
      <c r="I32">
        <v>550</v>
      </c>
      <c r="J32" t="s">
        <v>128</v>
      </c>
      <c r="M32" t="e">
        <f>VLOOKUP(A32,assignments!A:Y,3,FALSE)</f>
        <v>#N/A</v>
      </c>
    </row>
    <row r="33" spans="1:24" x14ac:dyDescent="0.25">
      <c r="A33" t="s">
        <v>133</v>
      </c>
      <c r="B33" t="s">
        <v>77</v>
      </c>
      <c r="C33" t="s">
        <v>127</v>
      </c>
      <c r="D33">
        <v>2018</v>
      </c>
      <c r="E33" t="s">
        <v>11</v>
      </c>
      <c r="F33" t="s">
        <v>77</v>
      </c>
      <c r="G33" s="1">
        <v>43393</v>
      </c>
      <c r="H33" t="s">
        <v>14</v>
      </c>
      <c r="I33">
        <v>850</v>
      </c>
      <c r="J33" t="s">
        <v>134</v>
      </c>
      <c r="M33" t="e">
        <f>VLOOKUP(A33,assignments!A:Y,3,FALSE)</f>
        <v>#N/A</v>
      </c>
    </row>
    <row r="34" spans="1:24" x14ac:dyDescent="0.25">
      <c r="A34" t="s">
        <v>137</v>
      </c>
      <c r="B34" t="s">
        <v>77</v>
      </c>
      <c r="C34" t="s">
        <v>127</v>
      </c>
      <c r="D34">
        <v>2018</v>
      </c>
      <c r="E34" t="s">
        <v>11</v>
      </c>
      <c r="F34" t="s">
        <v>77</v>
      </c>
      <c r="G34" s="1">
        <v>43393</v>
      </c>
      <c r="H34" t="s">
        <v>14</v>
      </c>
      <c r="I34">
        <v>590</v>
      </c>
      <c r="J34" t="s">
        <v>138</v>
      </c>
      <c r="M34" t="e">
        <f>VLOOKUP(A34,assignments!A:Y,3,FALSE)</f>
        <v>#N/A</v>
      </c>
    </row>
    <row r="35" spans="1:24" x14ac:dyDescent="0.25">
      <c r="A35" t="s">
        <v>131</v>
      </c>
      <c r="B35" t="s">
        <v>77</v>
      </c>
      <c r="C35" t="s">
        <v>127</v>
      </c>
      <c r="D35">
        <v>2018</v>
      </c>
      <c r="E35" t="s">
        <v>11</v>
      </c>
      <c r="F35" t="s">
        <v>77</v>
      </c>
      <c r="G35" s="1">
        <v>43393</v>
      </c>
      <c r="H35" t="s">
        <v>14</v>
      </c>
      <c r="I35">
        <v>640</v>
      </c>
      <c r="J35" t="s">
        <v>132</v>
      </c>
      <c r="M35" t="e">
        <f>VLOOKUP(A35,assignments!A:Y,3,FALSE)</f>
        <v>#N/A</v>
      </c>
    </row>
    <row r="36" spans="1:24" x14ac:dyDescent="0.25">
      <c r="A36" t="s">
        <v>135</v>
      </c>
      <c r="B36" t="s">
        <v>77</v>
      </c>
      <c r="C36" t="s">
        <v>127</v>
      </c>
      <c r="D36">
        <v>2018</v>
      </c>
      <c r="E36" t="s">
        <v>11</v>
      </c>
      <c r="F36" t="s">
        <v>77</v>
      </c>
      <c r="G36" s="1">
        <v>43393</v>
      </c>
      <c r="H36" t="s">
        <v>14</v>
      </c>
      <c r="I36">
        <v>650</v>
      </c>
      <c r="J36" t="s">
        <v>136</v>
      </c>
      <c r="M36" t="e">
        <f>VLOOKUP(A36,assignments!A:Y,3,FALSE)</f>
        <v>#N/A</v>
      </c>
    </row>
    <row r="37" spans="1:24" x14ac:dyDescent="0.25">
      <c r="A37" t="s">
        <v>106</v>
      </c>
      <c r="B37" t="s">
        <v>77</v>
      </c>
      <c r="C37" t="s">
        <v>15</v>
      </c>
      <c r="D37">
        <v>2019</v>
      </c>
      <c r="E37" t="s">
        <v>11</v>
      </c>
      <c r="F37" t="s">
        <v>77</v>
      </c>
      <c r="G37" s="1">
        <v>43586</v>
      </c>
      <c r="H37" t="s">
        <v>14</v>
      </c>
      <c r="I37">
        <v>85</v>
      </c>
      <c r="J37" t="s">
        <v>107</v>
      </c>
      <c r="M37" t="e">
        <f>VLOOKUP(A37,assignments!A:Y,3,FALSE)</f>
        <v>#N/A</v>
      </c>
    </row>
    <row r="38" spans="1:24" x14ac:dyDescent="0.25">
      <c r="A38" t="s">
        <v>108</v>
      </c>
      <c r="B38" t="s">
        <v>77</v>
      </c>
      <c r="C38" t="s">
        <v>15</v>
      </c>
      <c r="D38">
        <v>2019</v>
      </c>
      <c r="E38" t="s">
        <v>11</v>
      </c>
      <c r="F38" t="s">
        <v>77</v>
      </c>
      <c r="G38" s="1">
        <v>43586</v>
      </c>
      <c r="H38" t="s">
        <v>14</v>
      </c>
      <c r="I38">
        <v>66</v>
      </c>
      <c r="J38" t="s">
        <v>109</v>
      </c>
      <c r="M38" t="e">
        <f>VLOOKUP(A38,assignments!A:Y,3,FALSE)</f>
        <v>#N/A</v>
      </c>
    </row>
    <row r="39" spans="1:24" x14ac:dyDescent="0.25">
      <c r="A39" t="s">
        <v>110</v>
      </c>
      <c r="B39" t="s">
        <v>77</v>
      </c>
      <c r="C39" t="s">
        <v>15</v>
      </c>
      <c r="D39">
        <v>2019</v>
      </c>
      <c r="E39" t="s">
        <v>11</v>
      </c>
      <c r="F39" t="s">
        <v>77</v>
      </c>
      <c r="G39" s="1">
        <v>43586</v>
      </c>
      <c r="H39" t="s">
        <v>14</v>
      </c>
      <c r="I39">
        <v>77</v>
      </c>
      <c r="J39" t="s">
        <v>111</v>
      </c>
      <c r="M39" t="e">
        <f>VLOOKUP(A39,assignments!A:Y,3,FALSE)</f>
        <v>#N/A</v>
      </c>
    </row>
    <row r="40" spans="1:24" x14ac:dyDescent="0.25">
      <c r="A40" t="s">
        <v>112</v>
      </c>
      <c r="B40" t="s">
        <v>77</v>
      </c>
      <c r="C40" t="s">
        <v>15</v>
      </c>
      <c r="D40">
        <v>2019</v>
      </c>
      <c r="E40" t="s">
        <v>11</v>
      </c>
      <c r="F40" t="s">
        <v>77</v>
      </c>
      <c r="G40" s="1">
        <v>43586</v>
      </c>
      <c r="H40" t="s">
        <v>14</v>
      </c>
      <c r="I40">
        <v>78</v>
      </c>
      <c r="J40" t="s">
        <v>113</v>
      </c>
      <c r="M40" t="e">
        <f>VLOOKUP(A40,assignments!A:Y,3,FALSE)</f>
        <v>#N/A</v>
      </c>
    </row>
    <row r="41" spans="1:24" hidden="1" x14ac:dyDescent="0.25">
      <c r="A41" t="s">
        <v>145</v>
      </c>
      <c r="B41" t="s">
        <v>78</v>
      </c>
      <c r="C41" t="s">
        <v>15</v>
      </c>
      <c r="D41">
        <v>2014</v>
      </c>
      <c r="E41" t="s">
        <v>11</v>
      </c>
      <c r="F41" t="s">
        <v>78</v>
      </c>
      <c r="G41" s="1">
        <v>41679</v>
      </c>
      <c r="J41" t="s">
        <v>146</v>
      </c>
      <c r="K41" t="s">
        <v>778</v>
      </c>
      <c r="V41" t="s">
        <v>652</v>
      </c>
      <c r="W41">
        <v>2006</v>
      </c>
      <c r="X41" t="s">
        <v>807</v>
      </c>
    </row>
    <row r="42" spans="1:24" hidden="1" x14ac:dyDescent="0.25">
      <c r="A42" t="s">
        <v>147</v>
      </c>
      <c r="B42" t="s">
        <v>78</v>
      </c>
      <c r="C42" t="s">
        <v>15</v>
      </c>
      <c r="D42">
        <v>2014</v>
      </c>
      <c r="E42" t="s">
        <v>11</v>
      </c>
      <c r="F42" t="s">
        <v>78</v>
      </c>
      <c r="G42" s="1">
        <v>41679</v>
      </c>
      <c r="J42" t="s">
        <v>148</v>
      </c>
      <c r="K42" t="s">
        <v>778</v>
      </c>
      <c r="V42" t="s">
        <v>656</v>
      </c>
      <c r="W42">
        <v>2007</v>
      </c>
      <c r="X42" t="s">
        <v>806</v>
      </c>
    </row>
    <row r="43" spans="1:24" hidden="1" x14ac:dyDescent="0.25">
      <c r="A43" t="s">
        <v>149</v>
      </c>
      <c r="B43" t="s">
        <v>78</v>
      </c>
      <c r="C43" t="s">
        <v>15</v>
      </c>
      <c r="D43">
        <v>2014</v>
      </c>
      <c r="E43" t="s">
        <v>11</v>
      </c>
      <c r="F43" t="s">
        <v>78</v>
      </c>
      <c r="G43" s="1">
        <v>41679</v>
      </c>
      <c r="J43" t="s">
        <v>150</v>
      </c>
      <c r="K43" t="s">
        <v>778</v>
      </c>
      <c r="V43" t="s">
        <v>658</v>
      </c>
      <c r="W43">
        <v>2007</v>
      </c>
      <c r="X43" t="s">
        <v>807</v>
      </c>
    </row>
    <row r="44" spans="1:24" hidden="1" x14ac:dyDescent="0.25">
      <c r="A44" t="s">
        <v>151</v>
      </c>
      <c r="B44" t="s">
        <v>78</v>
      </c>
      <c r="C44" t="s">
        <v>15</v>
      </c>
      <c r="D44">
        <v>2014</v>
      </c>
      <c r="E44" t="s">
        <v>11</v>
      </c>
      <c r="F44" t="s">
        <v>78</v>
      </c>
      <c r="G44" s="1">
        <v>41679</v>
      </c>
      <c r="J44" t="s">
        <v>152</v>
      </c>
      <c r="K44" t="s">
        <v>778</v>
      </c>
      <c r="V44" t="s">
        <v>660</v>
      </c>
      <c r="W44">
        <v>2007</v>
      </c>
      <c r="X44" t="s">
        <v>807</v>
      </c>
    </row>
    <row r="45" spans="1:24" hidden="1" x14ac:dyDescent="0.25">
      <c r="A45" t="s">
        <v>153</v>
      </c>
      <c r="B45" t="s">
        <v>78</v>
      </c>
      <c r="C45" t="s">
        <v>15</v>
      </c>
      <c r="D45">
        <v>2014</v>
      </c>
      <c r="E45" t="s">
        <v>11</v>
      </c>
      <c r="F45" t="s">
        <v>78</v>
      </c>
      <c r="G45" s="1">
        <v>41679</v>
      </c>
      <c r="J45" t="s">
        <v>154</v>
      </c>
      <c r="K45" t="s">
        <v>778</v>
      </c>
      <c r="V45" t="s">
        <v>662</v>
      </c>
      <c r="W45">
        <v>2007</v>
      </c>
      <c r="X45" t="s">
        <v>804</v>
      </c>
    </row>
    <row r="46" spans="1:24" hidden="1" x14ac:dyDescent="0.25">
      <c r="A46" t="s">
        <v>165</v>
      </c>
      <c r="B46" t="s">
        <v>78</v>
      </c>
      <c r="C46" t="s">
        <v>15</v>
      </c>
      <c r="D46">
        <v>2014</v>
      </c>
      <c r="E46" t="s">
        <v>11</v>
      </c>
      <c r="F46" t="s">
        <v>78</v>
      </c>
      <c r="G46" s="1">
        <v>41679</v>
      </c>
      <c r="J46" t="s">
        <v>166</v>
      </c>
      <c r="K46" t="s">
        <v>778</v>
      </c>
      <c r="V46" t="s">
        <v>664</v>
      </c>
      <c r="W46">
        <v>2007</v>
      </c>
      <c r="X46" t="s">
        <v>811</v>
      </c>
    </row>
    <row r="47" spans="1:24" hidden="1" x14ac:dyDescent="0.25">
      <c r="A47" t="s">
        <v>167</v>
      </c>
      <c r="B47" t="s">
        <v>78</v>
      </c>
      <c r="C47" t="s">
        <v>15</v>
      </c>
      <c r="D47">
        <v>2014</v>
      </c>
      <c r="E47" t="s">
        <v>11</v>
      </c>
      <c r="F47" t="s">
        <v>78</v>
      </c>
      <c r="G47" s="1">
        <v>41679</v>
      </c>
      <c r="J47" t="s">
        <v>168</v>
      </c>
      <c r="K47" t="s">
        <v>778</v>
      </c>
      <c r="V47" t="s">
        <v>666</v>
      </c>
      <c r="W47">
        <v>2007</v>
      </c>
      <c r="X47" t="s">
        <v>803</v>
      </c>
    </row>
    <row r="48" spans="1:24" hidden="1" x14ac:dyDescent="0.25">
      <c r="A48" t="s">
        <v>169</v>
      </c>
      <c r="B48" t="s">
        <v>78</v>
      </c>
      <c r="C48" t="s">
        <v>15</v>
      </c>
      <c r="D48">
        <v>2014</v>
      </c>
      <c r="E48" t="s">
        <v>11</v>
      </c>
      <c r="F48" t="s">
        <v>78</v>
      </c>
      <c r="G48" s="1">
        <v>41679</v>
      </c>
      <c r="J48" t="s">
        <v>170</v>
      </c>
      <c r="K48" t="s">
        <v>778</v>
      </c>
      <c r="V48" t="s">
        <v>668</v>
      </c>
      <c r="W48">
        <v>2007</v>
      </c>
      <c r="X48" t="s">
        <v>803</v>
      </c>
    </row>
    <row r="49" spans="1:24" hidden="1" x14ac:dyDescent="0.25">
      <c r="A49" t="s">
        <v>175</v>
      </c>
      <c r="B49" t="s">
        <v>78</v>
      </c>
      <c r="C49" t="s">
        <v>15</v>
      </c>
      <c r="D49">
        <v>2014</v>
      </c>
      <c r="E49" t="s">
        <v>11</v>
      </c>
      <c r="F49" t="s">
        <v>78</v>
      </c>
      <c r="G49" s="1">
        <v>41697</v>
      </c>
      <c r="I49">
        <v>44</v>
      </c>
      <c r="J49" t="s">
        <v>176</v>
      </c>
      <c r="K49" t="s">
        <v>778</v>
      </c>
      <c r="V49" t="s">
        <v>670</v>
      </c>
      <c r="W49">
        <v>2007</v>
      </c>
      <c r="X49" t="s">
        <v>807</v>
      </c>
    </row>
    <row r="50" spans="1:24" hidden="1" x14ac:dyDescent="0.25">
      <c r="A50" t="s">
        <v>155</v>
      </c>
      <c r="B50" t="s">
        <v>78</v>
      </c>
      <c r="C50" t="s">
        <v>15</v>
      </c>
      <c r="D50">
        <v>2014</v>
      </c>
      <c r="E50" t="s">
        <v>11</v>
      </c>
      <c r="F50" t="s">
        <v>78</v>
      </c>
      <c r="G50" s="1">
        <v>41679</v>
      </c>
      <c r="J50" t="s">
        <v>156</v>
      </c>
      <c r="K50" t="s">
        <v>778</v>
      </c>
      <c r="V50" t="s">
        <v>672</v>
      </c>
      <c r="W50">
        <v>2007</v>
      </c>
      <c r="X50" t="s">
        <v>807</v>
      </c>
    </row>
    <row r="51" spans="1:24" hidden="1" x14ac:dyDescent="0.25">
      <c r="A51" t="s">
        <v>157</v>
      </c>
      <c r="B51" t="s">
        <v>78</v>
      </c>
      <c r="C51" t="s">
        <v>15</v>
      </c>
      <c r="D51">
        <v>2014</v>
      </c>
      <c r="E51" t="s">
        <v>11</v>
      </c>
      <c r="F51" t="s">
        <v>78</v>
      </c>
      <c r="G51" s="1">
        <v>41679</v>
      </c>
      <c r="J51" t="s">
        <v>158</v>
      </c>
      <c r="K51" t="s">
        <v>778</v>
      </c>
      <c r="V51" t="s">
        <v>674</v>
      </c>
      <c r="W51">
        <v>2007</v>
      </c>
      <c r="X51" t="s">
        <v>806</v>
      </c>
    </row>
    <row r="52" spans="1:24" hidden="1" x14ac:dyDescent="0.25">
      <c r="A52" t="s">
        <v>159</v>
      </c>
      <c r="B52" t="s">
        <v>78</v>
      </c>
      <c r="C52" t="s">
        <v>15</v>
      </c>
      <c r="D52">
        <v>2014</v>
      </c>
      <c r="E52" t="s">
        <v>11</v>
      </c>
      <c r="F52" t="s">
        <v>78</v>
      </c>
      <c r="G52" s="1">
        <v>41679</v>
      </c>
      <c r="J52" t="s">
        <v>160</v>
      </c>
      <c r="K52" t="s">
        <v>778</v>
      </c>
      <c r="V52" t="s">
        <v>676</v>
      </c>
      <c r="W52">
        <v>2007</v>
      </c>
      <c r="X52" t="s">
        <v>803</v>
      </c>
    </row>
    <row r="53" spans="1:24" hidden="1" x14ac:dyDescent="0.25">
      <c r="A53" t="s">
        <v>161</v>
      </c>
      <c r="B53" t="s">
        <v>78</v>
      </c>
      <c r="C53" t="s">
        <v>15</v>
      </c>
      <c r="D53">
        <v>2014</v>
      </c>
      <c r="E53" t="s">
        <v>11</v>
      </c>
      <c r="F53" t="s">
        <v>78</v>
      </c>
      <c r="G53" s="1">
        <v>41679</v>
      </c>
      <c r="J53" t="s">
        <v>162</v>
      </c>
      <c r="K53" t="s">
        <v>778</v>
      </c>
      <c r="V53" t="s">
        <v>678</v>
      </c>
      <c r="W53">
        <v>2007</v>
      </c>
      <c r="X53" t="s">
        <v>807</v>
      </c>
    </row>
    <row r="54" spans="1:24" hidden="1" x14ac:dyDescent="0.25">
      <c r="A54" t="s">
        <v>163</v>
      </c>
      <c r="B54" t="s">
        <v>78</v>
      </c>
      <c r="C54" t="s">
        <v>15</v>
      </c>
      <c r="D54">
        <v>2014</v>
      </c>
      <c r="E54" t="s">
        <v>11</v>
      </c>
      <c r="F54" t="s">
        <v>78</v>
      </c>
      <c r="G54" s="1">
        <v>41679</v>
      </c>
      <c r="J54" t="s">
        <v>164</v>
      </c>
      <c r="K54" t="s">
        <v>778</v>
      </c>
      <c r="V54" t="s">
        <v>680</v>
      </c>
      <c r="W54">
        <v>2007</v>
      </c>
      <c r="X54" t="s">
        <v>803</v>
      </c>
    </row>
    <row r="55" spans="1:24" hidden="1" x14ac:dyDescent="0.25">
      <c r="A55" t="s">
        <v>143</v>
      </c>
      <c r="B55" t="s">
        <v>78</v>
      </c>
      <c r="C55" t="s">
        <v>15</v>
      </c>
      <c r="D55">
        <v>2014</v>
      </c>
      <c r="E55" t="s">
        <v>11</v>
      </c>
      <c r="F55" t="s">
        <v>78</v>
      </c>
      <c r="G55" s="1">
        <v>41766</v>
      </c>
      <c r="I55">
        <v>88</v>
      </c>
      <c r="J55" t="s">
        <v>144</v>
      </c>
      <c r="K55" t="s">
        <v>778</v>
      </c>
      <c r="V55" t="s">
        <v>682</v>
      </c>
      <c r="W55">
        <v>2007</v>
      </c>
      <c r="X55" t="s">
        <v>807</v>
      </c>
    </row>
    <row r="56" spans="1:24" hidden="1" x14ac:dyDescent="0.25">
      <c r="A56" t="s">
        <v>141</v>
      </c>
      <c r="B56" t="s">
        <v>78</v>
      </c>
      <c r="C56" t="s">
        <v>15</v>
      </c>
      <c r="D56">
        <v>2014</v>
      </c>
      <c r="E56" t="s">
        <v>11</v>
      </c>
      <c r="F56" t="s">
        <v>78</v>
      </c>
      <c r="G56" s="1">
        <v>41776</v>
      </c>
      <c r="I56">
        <v>90</v>
      </c>
      <c r="J56" t="s">
        <v>142</v>
      </c>
      <c r="K56" t="s">
        <v>778</v>
      </c>
      <c r="V56" t="s">
        <v>684</v>
      </c>
      <c r="W56">
        <v>2007</v>
      </c>
      <c r="X56" t="s">
        <v>807</v>
      </c>
    </row>
    <row r="57" spans="1:24" hidden="1" x14ac:dyDescent="0.25">
      <c r="A57" t="s">
        <v>177</v>
      </c>
      <c r="B57" t="s">
        <v>78</v>
      </c>
      <c r="C57" t="s">
        <v>15</v>
      </c>
      <c r="D57">
        <v>2020</v>
      </c>
      <c r="E57" t="s">
        <v>11</v>
      </c>
      <c r="F57" t="s">
        <v>78</v>
      </c>
      <c r="G57" s="1">
        <v>44183</v>
      </c>
      <c r="I57">
        <v>42</v>
      </c>
      <c r="J57" t="s">
        <v>178</v>
      </c>
      <c r="K57" t="s">
        <v>778</v>
      </c>
      <c r="V57" t="s">
        <v>686</v>
      </c>
      <c r="W57">
        <v>2007</v>
      </c>
      <c r="X57" t="s">
        <v>810</v>
      </c>
    </row>
    <row r="58" spans="1:24" hidden="1" x14ac:dyDescent="0.25">
      <c r="A58" t="s">
        <v>171</v>
      </c>
      <c r="B58" t="s">
        <v>78</v>
      </c>
      <c r="C58" t="s">
        <v>15</v>
      </c>
      <c r="D58">
        <v>2014</v>
      </c>
      <c r="E58" t="s">
        <v>11</v>
      </c>
      <c r="F58" t="s">
        <v>78</v>
      </c>
      <c r="G58" s="1">
        <v>41679</v>
      </c>
      <c r="J58" t="s">
        <v>172</v>
      </c>
      <c r="K58" t="s">
        <v>778</v>
      </c>
      <c r="V58" t="s">
        <v>688</v>
      </c>
      <c r="W58">
        <v>2007</v>
      </c>
      <c r="X58" t="s">
        <v>803</v>
      </c>
    </row>
    <row r="59" spans="1:24" hidden="1" x14ac:dyDescent="0.25">
      <c r="A59" t="s">
        <v>173</v>
      </c>
      <c r="B59" t="s">
        <v>78</v>
      </c>
      <c r="C59" t="s">
        <v>15</v>
      </c>
      <c r="D59">
        <v>2014</v>
      </c>
      <c r="E59" t="s">
        <v>11</v>
      </c>
      <c r="F59" t="s">
        <v>78</v>
      </c>
      <c r="G59" s="1">
        <v>41759</v>
      </c>
      <c r="J59" t="s">
        <v>174</v>
      </c>
      <c r="K59" t="s">
        <v>778</v>
      </c>
      <c r="V59" t="s">
        <v>690</v>
      </c>
      <c r="W59">
        <v>2007</v>
      </c>
      <c r="X59" t="s">
        <v>807</v>
      </c>
    </row>
    <row r="60" spans="1:24" x14ac:dyDescent="0.25">
      <c r="A60" t="s">
        <v>114</v>
      </c>
      <c r="B60" t="s">
        <v>77</v>
      </c>
      <c r="C60" t="s">
        <v>15</v>
      </c>
      <c r="D60">
        <v>2019</v>
      </c>
      <c r="E60" t="s">
        <v>11</v>
      </c>
      <c r="F60" t="s">
        <v>77</v>
      </c>
      <c r="G60" s="1">
        <v>43586</v>
      </c>
      <c r="H60" t="s">
        <v>14</v>
      </c>
      <c r="I60">
        <v>68</v>
      </c>
      <c r="J60" t="s">
        <v>115</v>
      </c>
      <c r="M60" t="e">
        <f>VLOOKUP(A60,assignments!A:Y,3,FALSE)</f>
        <v>#N/A</v>
      </c>
    </row>
    <row r="61" spans="1:24" x14ac:dyDescent="0.25">
      <c r="A61" t="s">
        <v>184</v>
      </c>
      <c r="B61" t="s">
        <v>78</v>
      </c>
      <c r="C61" t="s">
        <v>127</v>
      </c>
      <c r="D61">
        <v>2005</v>
      </c>
      <c r="E61" t="s">
        <v>11</v>
      </c>
      <c r="F61" t="s">
        <v>180</v>
      </c>
      <c r="G61" s="1">
        <v>38623</v>
      </c>
      <c r="I61">
        <v>156</v>
      </c>
      <c r="J61" t="s">
        <v>185</v>
      </c>
      <c r="M61" t="e">
        <f>VLOOKUP(A61,assignments!A:Y,3,FALSE)</f>
        <v>#N/A</v>
      </c>
    </row>
    <row r="62" spans="1:24" x14ac:dyDescent="0.25">
      <c r="A62" t="s">
        <v>574</v>
      </c>
      <c r="B62" t="s">
        <v>78</v>
      </c>
      <c r="C62" t="s">
        <v>127</v>
      </c>
      <c r="D62">
        <v>2005</v>
      </c>
      <c r="E62" t="s">
        <v>775</v>
      </c>
      <c r="F62" t="s">
        <v>180</v>
      </c>
      <c r="G62" s="1">
        <v>38651</v>
      </c>
      <c r="I62">
        <v>685</v>
      </c>
      <c r="J62" t="s">
        <v>575</v>
      </c>
      <c r="M62" t="str">
        <f>VLOOKUP(A62,assignments!A:Y,3,FALSE)</f>
        <v>SAC</v>
      </c>
    </row>
    <row r="63" spans="1:24" hidden="1" x14ac:dyDescent="0.25">
      <c r="A63" t="s">
        <v>129</v>
      </c>
      <c r="B63" t="s">
        <v>77</v>
      </c>
      <c r="C63" t="s">
        <v>127</v>
      </c>
      <c r="D63">
        <v>2018</v>
      </c>
      <c r="E63" t="s">
        <v>11</v>
      </c>
      <c r="F63" t="s">
        <v>77</v>
      </c>
      <c r="G63" s="1">
        <v>43393</v>
      </c>
      <c r="H63" t="s">
        <v>14</v>
      </c>
      <c r="I63">
        <v>690</v>
      </c>
      <c r="J63" t="s">
        <v>130</v>
      </c>
      <c r="K63" t="s">
        <v>778</v>
      </c>
      <c r="L63" t="s">
        <v>771</v>
      </c>
      <c r="V63" t="s">
        <v>700</v>
      </c>
      <c r="W63">
        <v>2007</v>
      </c>
      <c r="X63" t="s">
        <v>807</v>
      </c>
    </row>
    <row r="64" spans="1:24" x14ac:dyDescent="0.25">
      <c r="A64" t="s">
        <v>576</v>
      </c>
      <c r="B64" t="s">
        <v>78</v>
      </c>
      <c r="C64" t="s">
        <v>127</v>
      </c>
      <c r="D64">
        <v>2005</v>
      </c>
      <c r="E64" t="s">
        <v>775</v>
      </c>
      <c r="F64" t="s">
        <v>180</v>
      </c>
      <c r="G64" s="1">
        <v>38651</v>
      </c>
      <c r="J64" t="s">
        <v>577</v>
      </c>
      <c r="M64" t="str">
        <f>VLOOKUP(A64,assignments!A:Y,3,FALSE)</f>
        <v>DEE</v>
      </c>
    </row>
    <row r="65" spans="1:13" x14ac:dyDescent="0.25">
      <c r="A65" t="s">
        <v>578</v>
      </c>
      <c r="B65" t="s">
        <v>78</v>
      </c>
      <c r="C65" t="s">
        <v>127</v>
      </c>
      <c r="D65">
        <v>2005</v>
      </c>
      <c r="E65" t="s">
        <v>775</v>
      </c>
      <c r="F65" t="s">
        <v>180</v>
      </c>
      <c r="G65" s="1">
        <v>38651</v>
      </c>
      <c r="I65">
        <v>720</v>
      </c>
      <c r="J65" t="s">
        <v>579</v>
      </c>
      <c r="M65" t="str">
        <f>VLOOKUP(A65,assignments!A:Y,3,FALSE)</f>
        <v>CNH</v>
      </c>
    </row>
    <row r="66" spans="1:13" x14ac:dyDescent="0.25">
      <c r="A66" t="s">
        <v>580</v>
      </c>
      <c r="B66" t="s">
        <v>78</v>
      </c>
      <c r="C66" t="s">
        <v>127</v>
      </c>
      <c r="D66">
        <v>2005</v>
      </c>
      <c r="E66" t="s">
        <v>775</v>
      </c>
      <c r="F66" t="s">
        <v>180</v>
      </c>
      <c r="G66" s="1">
        <v>38637</v>
      </c>
      <c r="I66">
        <v>680</v>
      </c>
      <c r="J66" t="s">
        <v>581</v>
      </c>
      <c r="M66" t="str">
        <f>VLOOKUP(A66,assignments!A:Y,3,FALSE)</f>
        <v>DEE</v>
      </c>
    </row>
    <row r="67" spans="1:13" x14ac:dyDescent="0.25">
      <c r="A67" t="s">
        <v>582</v>
      </c>
      <c r="B67" t="s">
        <v>78</v>
      </c>
      <c r="C67" t="s">
        <v>127</v>
      </c>
      <c r="D67">
        <v>2006</v>
      </c>
      <c r="E67" t="s">
        <v>775</v>
      </c>
      <c r="F67" t="s">
        <v>180</v>
      </c>
      <c r="G67" s="1">
        <v>38993</v>
      </c>
      <c r="I67">
        <v>680</v>
      </c>
      <c r="J67" t="s">
        <v>583</v>
      </c>
      <c r="M67" t="str">
        <f>VLOOKUP(A67,assignments!A:Y,3,FALSE)</f>
        <v>BAT</v>
      </c>
    </row>
    <row r="68" spans="1:13" x14ac:dyDescent="0.25">
      <c r="A68" t="s">
        <v>584</v>
      </c>
      <c r="B68" t="s">
        <v>78</v>
      </c>
      <c r="C68" t="s">
        <v>127</v>
      </c>
      <c r="D68">
        <v>2006</v>
      </c>
      <c r="E68" t="s">
        <v>775</v>
      </c>
      <c r="F68" t="s">
        <v>180</v>
      </c>
      <c r="G68" s="1">
        <v>38993</v>
      </c>
      <c r="I68">
        <v>710</v>
      </c>
      <c r="J68" t="s">
        <v>585</v>
      </c>
      <c r="M68" t="str">
        <f>VLOOKUP(A68,assignments!A:Y,3,FALSE)</f>
        <v>DEE</v>
      </c>
    </row>
    <row r="69" spans="1:13" x14ac:dyDescent="0.25">
      <c r="A69" t="s">
        <v>586</v>
      </c>
      <c r="B69" t="s">
        <v>78</v>
      </c>
      <c r="C69" t="s">
        <v>127</v>
      </c>
      <c r="D69">
        <v>2006</v>
      </c>
      <c r="E69" t="s">
        <v>775</v>
      </c>
      <c r="F69" t="s">
        <v>180</v>
      </c>
      <c r="G69" s="1">
        <v>38993</v>
      </c>
      <c r="J69" t="s">
        <v>587</v>
      </c>
      <c r="M69" t="str">
        <f>VLOOKUP(A69,assignments!A:Y,3,FALSE)</f>
        <v>DEE</v>
      </c>
    </row>
    <row r="70" spans="1:13" x14ac:dyDescent="0.25">
      <c r="A70" t="s">
        <v>588</v>
      </c>
      <c r="B70" t="s">
        <v>78</v>
      </c>
      <c r="C70" t="s">
        <v>127</v>
      </c>
      <c r="D70">
        <v>2006</v>
      </c>
      <c r="E70" t="s">
        <v>775</v>
      </c>
      <c r="F70" t="s">
        <v>180</v>
      </c>
      <c r="G70" s="1">
        <v>38959</v>
      </c>
      <c r="I70">
        <v>668</v>
      </c>
      <c r="J70" t="s">
        <v>589</v>
      </c>
      <c r="M70" t="str">
        <f>VLOOKUP(A70,assignments!A:Y,3,FALSE)</f>
        <v>CNH</v>
      </c>
    </row>
    <row r="71" spans="1:13" hidden="1" x14ac:dyDescent="0.25">
      <c r="A71" t="s">
        <v>590</v>
      </c>
      <c r="B71" t="s">
        <v>78</v>
      </c>
      <c r="C71" t="s">
        <v>127</v>
      </c>
      <c r="D71">
        <v>2006</v>
      </c>
      <c r="E71" t="s">
        <v>775</v>
      </c>
      <c r="F71" t="s">
        <v>180</v>
      </c>
      <c r="G71" s="1">
        <v>38958</v>
      </c>
      <c r="I71">
        <v>670</v>
      </c>
      <c r="J71" t="s">
        <v>591</v>
      </c>
      <c r="K71" t="s">
        <v>778</v>
      </c>
      <c r="M71" t="str">
        <f>VLOOKUP(A71,assignments!A:Y,3,FALSE)</f>
        <v>FEA</v>
      </c>
    </row>
    <row r="72" spans="1:13" x14ac:dyDescent="0.25">
      <c r="A72" t="s">
        <v>592</v>
      </c>
      <c r="B72" t="s">
        <v>78</v>
      </c>
      <c r="C72" t="s">
        <v>127</v>
      </c>
      <c r="D72">
        <v>2006</v>
      </c>
      <c r="E72" t="s">
        <v>775</v>
      </c>
      <c r="F72" t="s">
        <v>180</v>
      </c>
      <c r="G72" s="1">
        <v>38992</v>
      </c>
      <c r="I72">
        <v>675</v>
      </c>
      <c r="J72" t="s">
        <v>593</v>
      </c>
      <c r="M72" t="str">
        <f>VLOOKUP(A72,assignments!A:Y,3,FALSE)</f>
        <v>MIL</v>
      </c>
    </row>
    <row r="73" spans="1:13" x14ac:dyDescent="0.25">
      <c r="A73" t="s">
        <v>594</v>
      </c>
      <c r="B73" t="s">
        <v>78</v>
      </c>
      <c r="C73" t="s">
        <v>127</v>
      </c>
      <c r="D73">
        <v>2006</v>
      </c>
      <c r="E73" t="s">
        <v>775</v>
      </c>
      <c r="F73" t="s">
        <v>180</v>
      </c>
      <c r="G73" s="1">
        <v>38992</v>
      </c>
      <c r="I73">
        <v>640</v>
      </c>
      <c r="J73" t="s">
        <v>595</v>
      </c>
      <c r="M73" t="str">
        <f>VLOOKUP(A73,assignments!A:Y,3,FALSE)</f>
        <v>BAT</v>
      </c>
    </row>
    <row r="74" spans="1:13" x14ac:dyDescent="0.25">
      <c r="A74" t="s">
        <v>596</v>
      </c>
      <c r="B74" t="s">
        <v>78</v>
      </c>
      <c r="C74" t="s">
        <v>127</v>
      </c>
      <c r="D74">
        <v>2006</v>
      </c>
      <c r="E74" t="s">
        <v>775</v>
      </c>
      <c r="F74" t="s">
        <v>180</v>
      </c>
      <c r="G74" s="1">
        <v>38978</v>
      </c>
      <c r="I74">
        <v>765</v>
      </c>
      <c r="J74" t="s">
        <v>597</v>
      </c>
      <c r="M74" t="str">
        <f>VLOOKUP(A74,assignments!A:Y,3,FALSE)</f>
        <v>CNH</v>
      </c>
    </row>
    <row r="75" spans="1:13" x14ac:dyDescent="0.25">
      <c r="A75" t="s">
        <v>598</v>
      </c>
      <c r="B75" t="s">
        <v>78</v>
      </c>
      <c r="C75" t="s">
        <v>127</v>
      </c>
      <c r="D75">
        <v>2006</v>
      </c>
      <c r="E75" t="s">
        <v>775</v>
      </c>
      <c r="F75" t="s">
        <v>180</v>
      </c>
      <c r="G75" s="1">
        <v>38994</v>
      </c>
      <c r="I75">
        <v>725</v>
      </c>
      <c r="J75" t="s">
        <v>599</v>
      </c>
      <c r="M75" t="str">
        <f>VLOOKUP(A75,assignments!A:Y,3,FALSE)</f>
        <v>BAT</v>
      </c>
    </row>
    <row r="76" spans="1:13" x14ac:dyDescent="0.25">
      <c r="A76" t="s">
        <v>600</v>
      </c>
      <c r="B76" t="s">
        <v>78</v>
      </c>
      <c r="C76" t="s">
        <v>127</v>
      </c>
      <c r="D76">
        <v>2006</v>
      </c>
      <c r="E76" t="s">
        <v>775</v>
      </c>
      <c r="F76" t="s">
        <v>180</v>
      </c>
      <c r="G76" s="1">
        <v>39020</v>
      </c>
      <c r="I76">
        <v>760</v>
      </c>
      <c r="J76" t="s">
        <v>601</v>
      </c>
      <c r="M76" t="str">
        <f>VLOOKUP(A76,assignments!A:Y,3,FALSE)</f>
        <v>BAT</v>
      </c>
    </row>
    <row r="77" spans="1:13" x14ac:dyDescent="0.25">
      <c r="A77" t="s">
        <v>602</v>
      </c>
      <c r="B77" t="s">
        <v>78</v>
      </c>
      <c r="C77" t="s">
        <v>127</v>
      </c>
      <c r="D77">
        <v>2006</v>
      </c>
      <c r="E77" t="s">
        <v>775</v>
      </c>
      <c r="F77" t="s">
        <v>180</v>
      </c>
      <c r="G77" s="1">
        <v>38993</v>
      </c>
      <c r="I77">
        <v>750</v>
      </c>
      <c r="J77" t="s">
        <v>603</v>
      </c>
      <c r="M77" t="str">
        <f>VLOOKUP(A77,assignments!A:Y,3,FALSE)</f>
        <v>BUT</v>
      </c>
    </row>
    <row r="78" spans="1:13" x14ac:dyDescent="0.25">
      <c r="A78" t="s">
        <v>604</v>
      </c>
      <c r="B78" t="s">
        <v>78</v>
      </c>
      <c r="C78" t="s">
        <v>127</v>
      </c>
      <c r="D78">
        <v>2006</v>
      </c>
      <c r="E78" t="s">
        <v>775</v>
      </c>
      <c r="F78" t="s">
        <v>180</v>
      </c>
      <c r="G78" s="1">
        <v>38993</v>
      </c>
      <c r="I78">
        <v>715</v>
      </c>
      <c r="J78" t="s">
        <v>605</v>
      </c>
      <c r="M78" t="str">
        <f>VLOOKUP(A78,assignments!A:Y,3,FALSE)</f>
        <v>CNH</v>
      </c>
    </row>
    <row r="79" spans="1:13" x14ac:dyDescent="0.25">
      <c r="A79" t="s">
        <v>606</v>
      </c>
      <c r="B79" t="s">
        <v>78</v>
      </c>
      <c r="C79" t="s">
        <v>127</v>
      </c>
      <c r="D79">
        <v>2006</v>
      </c>
      <c r="E79" t="s">
        <v>775</v>
      </c>
      <c r="F79" t="s">
        <v>180</v>
      </c>
      <c r="G79" s="1">
        <v>38993</v>
      </c>
      <c r="I79">
        <v>865</v>
      </c>
      <c r="J79" t="s">
        <v>607</v>
      </c>
      <c r="M79" t="str">
        <f>VLOOKUP(A79,assignments!A:Y,3,FALSE)</f>
        <v>BAT</v>
      </c>
    </row>
    <row r="80" spans="1:13" x14ac:dyDescent="0.25">
      <c r="A80" t="s">
        <v>608</v>
      </c>
      <c r="B80" t="s">
        <v>78</v>
      </c>
      <c r="C80" t="s">
        <v>127</v>
      </c>
      <c r="D80">
        <v>2006</v>
      </c>
      <c r="E80" t="s">
        <v>775</v>
      </c>
      <c r="F80" t="s">
        <v>180</v>
      </c>
      <c r="G80" s="1">
        <v>38993</v>
      </c>
      <c r="I80">
        <v>800</v>
      </c>
      <c r="J80" t="s">
        <v>609</v>
      </c>
      <c r="M80" t="str">
        <f>VLOOKUP(A80,assignments!A:Y,3,FALSE)</f>
        <v>MIL</v>
      </c>
    </row>
    <row r="81" spans="1:13" x14ac:dyDescent="0.25">
      <c r="A81" t="s">
        <v>610</v>
      </c>
      <c r="B81" t="s">
        <v>78</v>
      </c>
      <c r="C81" t="s">
        <v>127</v>
      </c>
      <c r="D81">
        <v>2006</v>
      </c>
      <c r="E81" t="s">
        <v>775</v>
      </c>
      <c r="F81" t="s">
        <v>180</v>
      </c>
      <c r="G81" s="1">
        <v>38993</v>
      </c>
      <c r="I81">
        <v>710</v>
      </c>
      <c r="J81" t="s">
        <v>611</v>
      </c>
      <c r="M81" t="str">
        <f>VLOOKUP(A81,assignments!A:Y,3,FALSE)</f>
        <v>BAT</v>
      </c>
    </row>
    <row r="82" spans="1:13" x14ac:dyDescent="0.25">
      <c r="A82" t="s">
        <v>612</v>
      </c>
      <c r="B82" t="s">
        <v>78</v>
      </c>
      <c r="C82" t="s">
        <v>127</v>
      </c>
      <c r="D82">
        <v>2006</v>
      </c>
      <c r="E82" t="s">
        <v>775</v>
      </c>
      <c r="F82" t="s">
        <v>180</v>
      </c>
      <c r="G82" s="1">
        <v>38993</v>
      </c>
      <c r="I82">
        <v>710</v>
      </c>
      <c r="J82" t="s">
        <v>613</v>
      </c>
      <c r="M82" t="str">
        <f>VLOOKUP(A82,assignments!A:Y,3,FALSE)</f>
        <v>Unknown</v>
      </c>
    </row>
    <row r="83" spans="1:13" x14ac:dyDescent="0.25">
      <c r="A83" t="s">
        <v>614</v>
      </c>
      <c r="B83" t="s">
        <v>78</v>
      </c>
      <c r="C83" t="s">
        <v>127</v>
      </c>
      <c r="D83">
        <v>2006</v>
      </c>
      <c r="E83" t="s">
        <v>775</v>
      </c>
      <c r="F83" t="s">
        <v>180</v>
      </c>
      <c r="G83" s="1">
        <v>38995</v>
      </c>
      <c r="I83">
        <v>660</v>
      </c>
      <c r="J83" t="s">
        <v>615</v>
      </c>
      <c r="M83" t="str">
        <f>VLOOKUP(A83,assignments!A:Y,3,FALSE)</f>
        <v>BAT</v>
      </c>
    </row>
    <row r="84" spans="1:13" x14ac:dyDescent="0.25">
      <c r="A84" t="s">
        <v>616</v>
      </c>
      <c r="B84" t="s">
        <v>78</v>
      </c>
      <c r="C84" t="s">
        <v>127</v>
      </c>
      <c r="D84">
        <v>2006</v>
      </c>
      <c r="E84" t="s">
        <v>775</v>
      </c>
      <c r="F84" t="s">
        <v>180</v>
      </c>
      <c r="G84" s="1">
        <v>38995</v>
      </c>
      <c r="I84">
        <v>740</v>
      </c>
      <c r="J84" t="s">
        <v>617</v>
      </c>
      <c r="M84" t="str">
        <f>VLOOKUP(A84,assignments!A:Y,3,FALSE)</f>
        <v>Unknown</v>
      </c>
    </row>
    <row r="85" spans="1:13" x14ac:dyDescent="0.25">
      <c r="A85" t="s">
        <v>618</v>
      </c>
      <c r="B85" t="s">
        <v>78</v>
      </c>
      <c r="C85" t="s">
        <v>127</v>
      </c>
      <c r="D85">
        <v>2006</v>
      </c>
      <c r="E85" t="s">
        <v>775</v>
      </c>
      <c r="F85" t="s">
        <v>180</v>
      </c>
      <c r="G85" s="1">
        <v>39020</v>
      </c>
      <c r="I85">
        <v>670</v>
      </c>
      <c r="J85" t="s">
        <v>619</v>
      </c>
      <c r="M85" t="str">
        <f>VLOOKUP(A85,assignments!A:Y,3,FALSE)</f>
        <v>SAC</v>
      </c>
    </row>
    <row r="86" spans="1:13" x14ac:dyDescent="0.25">
      <c r="A86" t="s">
        <v>620</v>
      </c>
      <c r="B86" t="s">
        <v>78</v>
      </c>
      <c r="C86" t="s">
        <v>127</v>
      </c>
      <c r="D86">
        <v>2006</v>
      </c>
      <c r="E86" t="s">
        <v>775</v>
      </c>
      <c r="F86" t="s">
        <v>180</v>
      </c>
      <c r="G86" s="1">
        <v>39020</v>
      </c>
      <c r="I86">
        <v>745</v>
      </c>
      <c r="J86" t="s">
        <v>621</v>
      </c>
      <c r="M86" t="str">
        <f>VLOOKUP(A86,assignments!A:Y,3,FALSE)</f>
        <v>DEE</v>
      </c>
    </row>
    <row r="87" spans="1:13" hidden="1" x14ac:dyDescent="0.25">
      <c r="A87" t="s">
        <v>622</v>
      </c>
      <c r="B87" t="s">
        <v>78</v>
      </c>
      <c r="C87" t="s">
        <v>127</v>
      </c>
      <c r="D87">
        <v>2006</v>
      </c>
      <c r="E87" t="s">
        <v>775</v>
      </c>
      <c r="F87" t="s">
        <v>180</v>
      </c>
      <c r="G87" s="1">
        <v>39021</v>
      </c>
      <c r="I87">
        <v>830</v>
      </c>
      <c r="J87" t="s">
        <v>623</v>
      </c>
      <c r="K87" t="s">
        <v>778</v>
      </c>
      <c r="M87" t="str">
        <f>VLOOKUP(A87,assignments!A:Y,3,FALSE)</f>
        <v>FEA</v>
      </c>
    </row>
    <row r="88" spans="1:13" x14ac:dyDescent="0.25">
      <c r="A88" t="s">
        <v>624</v>
      </c>
      <c r="B88" t="s">
        <v>78</v>
      </c>
      <c r="C88" t="s">
        <v>127</v>
      </c>
      <c r="D88">
        <v>2006</v>
      </c>
      <c r="E88" t="s">
        <v>775</v>
      </c>
      <c r="F88" t="s">
        <v>180</v>
      </c>
      <c r="G88" s="1">
        <v>39021</v>
      </c>
      <c r="J88" t="s">
        <v>625</v>
      </c>
      <c r="M88" t="str">
        <f>VLOOKUP(A88,assignments!A:Y,3,FALSE)</f>
        <v>BAT</v>
      </c>
    </row>
    <row r="89" spans="1:13" x14ac:dyDescent="0.25">
      <c r="A89" t="s">
        <v>626</v>
      </c>
      <c r="B89" t="s">
        <v>78</v>
      </c>
      <c r="C89" t="s">
        <v>127</v>
      </c>
      <c r="D89">
        <v>2006</v>
      </c>
      <c r="E89" t="s">
        <v>775</v>
      </c>
      <c r="F89" t="s">
        <v>180</v>
      </c>
      <c r="G89" s="1">
        <v>38995</v>
      </c>
      <c r="I89">
        <v>710</v>
      </c>
      <c r="J89" t="s">
        <v>627</v>
      </c>
      <c r="M89" t="str">
        <f>VLOOKUP(A89,assignments!A:Y,3,FALSE)</f>
        <v>BAT</v>
      </c>
    </row>
    <row r="90" spans="1:13" x14ac:dyDescent="0.25">
      <c r="A90" t="s">
        <v>628</v>
      </c>
      <c r="B90" t="s">
        <v>78</v>
      </c>
      <c r="C90" t="s">
        <v>127</v>
      </c>
      <c r="D90">
        <v>2006</v>
      </c>
      <c r="E90" t="s">
        <v>775</v>
      </c>
      <c r="F90" t="s">
        <v>180</v>
      </c>
      <c r="G90" s="1">
        <v>38995</v>
      </c>
      <c r="I90">
        <v>725</v>
      </c>
      <c r="J90" t="s">
        <v>629</v>
      </c>
      <c r="M90" t="str">
        <f>VLOOKUP(A90,assignments!A:Y,3,FALSE)</f>
        <v>DEE</v>
      </c>
    </row>
    <row r="91" spans="1:13" x14ac:dyDescent="0.25">
      <c r="A91" t="s">
        <v>630</v>
      </c>
      <c r="B91" t="s">
        <v>78</v>
      </c>
      <c r="C91" t="s">
        <v>127</v>
      </c>
      <c r="D91">
        <v>2006</v>
      </c>
      <c r="E91" t="s">
        <v>775</v>
      </c>
      <c r="F91" t="s">
        <v>180</v>
      </c>
      <c r="G91" s="1">
        <v>39021</v>
      </c>
      <c r="I91">
        <v>765</v>
      </c>
      <c r="J91" t="s">
        <v>631</v>
      </c>
      <c r="M91" t="str">
        <f>VLOOKUP(A91,assignments!A:Y,3,FALSE)</f>
        <v>DEE</v>
      </c>
    </row>
    <row r="92" spans="1:13" x14ac:dyDescent="0.25">
      <c r="A92" t="s">
        <v>632</v>
      </c>
      <c r="B92" t="s">
        <v>78</v>
      </c>
      <c r="C92" t="s">
        <v>127</v>
      </c>
      <c r="D92">
        <v>2006</v>
      </c>
      <c r="E92" t="s">
        <v>775</v>
      </c>
      <c r="F92" t="s">
        <v>180</v>
      </c>
      <c r="G92" s="1">
        <v>39021</v>
      </c>
      <c r="I92">
        <v>780</v>
      </c>
      <c r="J92" t="s">
        <v>633</v>
      </c>
      <c r="M92" t="str">
        <f>VLOOKUP(A92,assignments!A:Y,3,FALSE)</f>
        <v>BAT</v>
      </c>
    </row>
    <row r="93" spans="1:13" x14ac:dyDescent="0.25">
      <c r="A93" t="s">
        <v>634</v>
      </c>
      <c r="B93" t="s">
        <v>78</v>
      </c>
      <c r="C93" t="s">
        <v>127</v>
      </c>
      <c r="D93">
        <v>2006</v>
      </c>
      <c r="E93" t="s">
        <v>775</v>
      </c>
      <c r="F93" t="s">
        <v>180</v>
      </c>
      <c r="G93" s="1">
        <v>39021</v>
      </c>
      <c r="I93">
        <v>795</v>
      </c>
      <c r="J93" t="s">
        <v>635</v>
      </c>
      <c r="M93" t="str">
        <f>VLOOKUP(A93,assignments!A:Y,3,FALSE)</f>
        <v>BAT</v>
      </c>
    </row>
    <row r="94" spans="1:13" x14ac:dyDescent="0.25">
      <c r="A94" t="s">
        <v>636</v>
      </c>
      <c r="B94" t="s">
        <v>78</v>
      </c>
      <c r="C94" t="s">
        <v>127</v>
      </c>
      <c r="D94">
        <v>2006</v>
      </c>
      <c r="E94" t="s">
        <v>775</v>
      </c>
      <c r="F94" t="s">
        <v>180</v>
      </c>
      <c r="G94" s="1">
        <v>39021</v>
      </c>
      <c r="I94">
        <v>790</v>
      </c>
      <c r="J94" t="s">
        <v>637</v>
      </c>
      <c r="M94" t="str">
        <f>VLOOKUP(A94,assignments!A:Y,3,FALSE)</f>
        <v>BAT</v>
      </c>
    </row>
    <row r="95" spans="1:13" x14ac:dyDescent="0.25">
      <c r="A95" t="s">
        <v>638</v>
      </c>
      <c r="B95" t="s">
        <v>78</v>
      </c>
      <c r="C95" t="s">
        <v>127</v>
      </c>
      <c r="D95">
        <v>2006</v>
      </c>
      <c r="E95" t="s">
        <v>775</v>
      </c>
      <c r="F95" t="s">
        <v>180</v>
      </c>
      <c r="G95" s="1">
        <v>39023</v>
      </c>
      <c r="I95">
        <v>755</v>
      </c>
      <c r="J95" t="s">
        <v>639</v>
      </c>
      <c r="M95" t="str">
        <f>VLOOKUP(A95,assignments!A:Y,3,FALSE)</f>
        <v>MIL</v>
      </c>
    </row>
    <row r="96" spans="1:13" x14ac:dyDescent="0.25">
      <c r="A96" t="s">
        <v>640</v>
      </c>
      <c r="B96" t="s">
        <v>78</v>
      </c>
      <c r="C96" t="s">
        <v>127</v>
      </c>
      <c r="D96">
        <v>2006</v>
      </c>
      <c r="E96" t="s">
        <v>775</v>
      </c>
      <c r="F96" t="s">
        <v>180</v>
      </c>
      <c r="G96" s="1">
        <v>39021</v>
      </c>
      <c r="I96">
        <v>700</v>
      </c>
      <c r="J96" t="s">
        <v>641</v>
      </c>
      <c r="M96" t="str">
        <f>VLOOKUP(A96,assignments!A:Y,3,FALSE)</f>
        <v>MIL</v>
      </c>
    </row>
    <row r="97" spans="1:13" x14ac:dyDescent="0.25">
      <c r="A97" t="s">
        <v>642</v>
      </c>
      <c r="B97" t="s">
        <v>78</v>
      </c>
      <c r="C97" t="s">
        <v>127</v>
      </c>
      <c r="D97">
        <v>2006</v>
      </c>
      <c r="E97" t="s">
        <v>775</v>
      </c>
      <c r="F97" t="s">
        <v>180</v>
      </c>
      <c r="G97" s="1">
        <v>39021</v>
      </c>
      <c r="I97">
        <v>835</v>
      </c>
      <c r="J97" t="s">
        <v>643</v>
      </c>
      <c r="M97" t="str">
        <f>VLOOKUP(A97,assignments!A:Y,3,FALSE)</f>
        <v>BAT</v>
      </c>
    </row>
    <row r="98" spans="1:13" x14ac:dyDescent="0.25">
      <c r="A98" t="s">
        <v>644</v>
      </c>
      <c r="B98" t="s">
        <v>78</v>
      </c>
      <c r="C98" t="s">
        <v>127</v>
      </c>
      <c r="D98">
        <v>2006</v>
      </c>
      <c r="E98" t="s">
        <v>775</v>
      </c>
      <c r="F98" t="s">
        <v>180</v>
      </c>
      <c r="G98" s="1">
        <v>39021</v>
      </c>
      <c r="I98">
        <v>820</v>
      </c>
      <c r="J98" t="s">
        <v>645</v>
      </c>
      <c r="M98" t="str">
        <f>VLOOKUP(A98,assignments!A:Y,3,FALSE)</f>
        <v>BAT</v>
      </c>
    </row>
    <row r="99" spans="1:13" x14ac:dyDescent="0.25">
      <c r="A99" t="s">
        <v>646</v>
      </c>
      <c r="B99" t="s">
        <v>78</v>
      </c>
      <c r="C99" t="s">
        <v>127</v>
      </c>
      <c r="D99">
        <v>2006</v>
      </c>
      <c r="E99" t="s">
        <v>775</v>
      </c>
      <c r="F99" t="s">
        <v>180</v>
      </c>
      <c r="G99" s="1">
        <v>39023</v>
      </c>
      <c r="I99">
        <v>510</v>
      </c>
      <c r="J99" t="s">
        <v>647</v>
      </c>
      <c r="M99" t="str">
        <f>VLOOKUP(A99,assignments!A:Y,3,FALSE)</f>
        <v>BAT</v>
      </c>
    </row>
    <row r="100" spans="1:13" x14ac:dyDescent="0.25">
      <c r="A100" t="s">
        <v>648</v>
      </c>
      <c r="B100" t="s">
        <v>78</v>
      </c>
      <c r="C100" t="s">
        <v>127</v>
      </c>
      <c r="D100">
        <v>2006</v>
      </c>
      <c r="E100" t="s">
        <v>775</v>
      </c>
      <c r="F100" t="s">
        <v>180</v>
      </c>
      <c r="G100" s="1">
        <v>39021</v>
      </c>
      <c r="J100" t="s">
        <v>649</v>
      </c>
      <c r="M100" t="str">
        <f>VLOOKUP(A100,assignments!A:Y,3,FALSE)</f>
        <v>DEE</v>
      </c>
    </row>
    <row r="101" spans="1:13" x14ac:dyDescent="0.25">
      <c r="A101" t="s">
        <v>650</v>
      </c>
      <c r="B101" t="s">
        <v>78</v>
      </c>
      <c r="C101" t="s">
        <v>127</v>
      </c>
      <c r="D101">
        <v>2006</v>
      </c>
      <c r="E101" t="s">
        <v>775</v>
      </c>
      <c r="F101" t="s">
        <v>180</v>
      </c>
      <c r="G101" s="1">
        <v>39021</v>
      </c>
      <c r="J101" t="s">
        <v>651</v>
      </c>
      <c r="M101" t="str">
        <f>VLOOKUP(A101,assignments!A:Y,3,FALSE)</f>
        <v>BAT</v>
      </c>
    </row>
    <row r="102" spans="1:13" x14ac:dyDescent="0.25">
      <c r="A102" t="s">
        <v>652</v>
      </c>
      <c r="B102" t="s">
        <v>78</v>
      </c>
      <c r="C102" t="s">
        <v>127</v>
      </c>
      <c r="D102">
        <v>2006</v>
      </c>
      <c r="E102" t="s">
        <v>775</v>
      </c>
      <c r="F102" t="s">
        <v>180</v>
      </c>
      <c r="G102" s="1">
        <v>39023</v>
      </c>
      <c r="I102">
        <v>795</v>
      </c>
      <c r="J102" t="s">
        <v>653</v>
      </c>
      <c r="M102" t="str">
        <f>VLOOKUP(A102,assignments!A:Y,3,FALSE)</f>
        <v>BAT</v>
      </c>
    </row>
    <row r="103" spans="1:13" x14ac:dyDescent="0.25">
      <c r="A103" t="s">
        <v>654</v>
      </c>
      <c r="B103" t="s">
        <v>78</v>
      </c>
      <c r="C103" t="s">
        <v>127</v>
      </c>
      <c r="D103">
        <v>2006</v>
      </c>
      <c r="E103" t="s">
        <v>775</v>
      </c>
      <c r="F103" t="s">
        <v>180</v>
      </c>
      <c r="G103" s="1">
        <v>39021</v>
      </c>
      <c r="I103">
        <v>800</v>
      </c>
      <c r="J103" t="s">
        <v>655</v>
      </c>
      <c r="M103" t="e">
        <f>VLOOKUP(A103,assignments!A:Y,3,FALSE)</f>
        <v>#N/A</v>
      </c>
    </row>
    <row r="104" spans="1:13" x14ac:dyDescent="0.25">
      <c r="A104" t="s">
        <v>179</v>
      </c>
      <c r="B104" t="s">
        <v>78</v>
      </c>
      <c r="C104" t="s">
        <v>127</v>
      </c>
      <c r="D104">
        <v>2007</v>
      </c>
      <c r="E104" t="s">
        <v>11</v>
      </c>
      <c r="F104" t="s">
        <v>180</v>
      </c>
      <c r="G104" s="1">
        <v>39357</v>
      </c>
      <c r="I104">
        <v>145</v>
      </c>
      <c r="J104" t="s">
        <v>181</v>
      </c>
      <c r="M104" t="e">
        <f>VLOOKUP(A104,assignments!A:Y,3,FALSE)</f>
        <v>#N/A</v>
      </c>
    </row>
    <row r="105" spans="1:13" x14ac:dyDescent="0.25">
      <c r="A105" t="s">
        <v>182</v>
      </c>
      <c r="B105" t="s">
        <v>78</v>
      </c>
      <c r="C105" t="s">
        <v>127</v>
      </c>
      <c r="D105">
        <v>2007</v>
      </c>
      <c r="E105" t="s">
        <v>11</v>
      </c>
      <c r="F105" t="s">
        <v>180</v>
      </c>
      <c r="G105" s="1">
        <v>39302</v>
      </c>
      <c r="I105">
        <v>365</v>
      </c>
      <c r="J105" t="s">
        <v>183</v>
      </c>
      <c r="M105" t="e">
        <f>VLOOKUP(A105,assignments!A:Y,3,FALSE)</f>
        <v>#N/A</v>
      </c>
    </row>
    <row r="106" spans="1:13" x14ac:dyDescent="0.25">
      <c r="A106" t="s">
        <v>186</v>
      </c>
      <c r="B106" t="s">
        <v>78</v>
      </c>
      <c r="C106" t="s">
        <v>127</v>
      </c>
      <c r="D106">
        <v>2007</v>
      </c>
      <c r="E106" t="s">
        <v>11</v>
      </c>
      <c r="F106" t="s">
        <v>180</v>
      </c>
      <c r="G106" s="1">
        <v>39372</v>
      </c>
      <c r="I106">
        <v>213</v>
      </c>
      <c r="J106" t="s">
        <v>187</v>
      </c>
      <c r="M106" t="e">
        <f>VLOOKUP(A106,assignments!A:Y,3,FALSE)</f>
        <v>#N/A</v>
      </c>
    </row>
    <row r="107" spans="1:13" x14ac:dyDescent="0.25">
      <c r="A107" t="s">
        <v>518</v>
      </c>
      <c r="B107" t="s">
        <v>78</v>
      </c>
      <c r="C107" t="s">
        <v>127</v>
      </c>
      <c r="D107">
        <v>2007</v>
      </c>
      <c r="E107" t="s">
        <v>775</v>
      </c>
      <c r="F107" t="s">
        <v>180</v>
      </c>
      <c r="G107" s="1">
        <v>39372</v>
      </c>
      <c r="I107">
        <v>720</v>
      </c>
      <c r="J107" t="s">
        <v>519</v>
      </c>
      <c r="M107" t="str">
        <f>VLOOKUP(A107,assignments!A:Y,3,FALSE)</f>
        <v>Unknown</v>
      </c>
    </row>
    <row r="108" spans="1:13" x14ac:dyDescent="0.25">
      <c r="A108" t="s">
        <v>656</v>
      </c>
      <c r="B108" t="s">
        <v>78</v>
      </c>
      <c r="C108" t="s">
        <v>127</v>
      </c>
      <c r="D108">
        <v>2007</v>
      </c>
      <c r="E108" t="s">
        <v>775</v>
      </c>
      <c r="F108" t="s">
        <v>180</v>
      </c>
      <c r="G108" s="1">
        <v>39357</v>
      </c>
      <c r="I108">
        <v>720</v>
      </c>
      <c r="J108" t="s">
        <v>657</v>
      </c>
      <c r="M108" t="str">
        <f>VLOOKUP(A108,assignments!A:Y,3,FALSE)</f>
        <v>MIL</v>
      </c>
    </row>
    <row r="109" spans="1:13" x14ac:dyDescent="0.25">
      <c r="A109" t="s">
        <v>658</v>
      </c>
      <c r="B109" t="s">
        <v>78</v>
      </c>
      <c r="C109" t="s">
        <v>127</v>
      </c>
      <c r="D109">
        <v>2007</v>
      </c>
      <c r="E109" t="s">
        <v>775</v>
      </c>
      <c r="F109" t="s">
        <v>180</v>
      </c>
      <c r="G109" s="1">
        <v>39357</v>
      </c>
      <c r="I109">
        <v>650</v>
      </c>
      <c r="J109" t="s">
        <v>659</v>
      </c>
      <c r="M109" t="str">
        <f>VLOOKUP(A109,assignments!A:Y,3,FALSE)</f>
        <v>BAT</v>
      </c>
    </row>
    <row r="110" spans="1:13" x14ac:dyDescent="0.25">
      <c r="A110" t="s">
        <v>660</v>
      </c>
      <c r="B110" t="s">
        <v>78</v>
      </c>
      <c r="C110" t="s">
        <v>127</v>
      </c>
      <c r="D110">
        <v>2007</v>
      </c>
      <c r="E110" t="s">
        <v>775</v>
      </c>
      <c r="F110" t="s">
        <v>180</v>
      </c>
      <c r="G110" s="1">
        <v>39358</v>
      </c>
      <c r="I110">
        <v>785</v>
      </c>
      <c r="J110" t="s">
        <v>661</v>
      </c>
      <c r="M110" t="str">
        <f>VLOOKUP(A110,assignments!A:Y,3,FALSE)</f>
        <v>BAT</v>
      </c>
    </row>
    <row r="111" spans="1:13" x14ac:dyDescent="0.25">
      <c r="A111" t="s">
        <v>662</v>
      </c>
      <c r="B111" t="s">
        <v>78</v>
      </c>
      <c r="C111" t="s">
        <v>127</v>
      </c>
      <c r="D111">
        <v>2007</v>
      </c>
      <c r="E111" t="s">
        <v>775</v>
      </c>
      <c r="F111" t="s">
        <v>180</v>
      </c>
      <c r="G111" s="1">
        <v>39358</v>
      </c>
      <c r="I111">
        <v>690</v>
      </c>
      <c r="J111" t="s">
        <v>663</v>
      </c>
      <c r="M111" t="str">
        <f>VLOOKUP(A111,assignments!A:Y,3,FALSE)</f>
        <v>CNH</v>
      </c>
    </row>
    <row r="112" spans="1:13" hidden="1" x14ac:dyDescent="0.25">
      <c r="A112" t="s">
        <v>664</v>
      </c>
      <c r="B112" t="s">
        <v>78</v>
      </c>
      <c r="C112" t="s">
        <v>127</v>
      </c>
      <c r="D112">
        <v>2007</v>
      </c>
      <c r="E112" t="s">
        <v>775</v>
      </c>
      <c r="F112" t="s">
        <v>180</v>
      </c>
      <c r="G112" s="1">
        <v>39357</v>
      </c>
      <c r="I112">
        <v>859</v>
      </c>
      <c r="J112" t="s">
        <v>665</v>
      </c>
      <c r="K112" t="s">
        <v>778</v>
      </c>
      <c r="M112" t="str">
        <f>VLOOKUP(A112,assignments!A:Y,3,FALSE)</f>
        <v>FRH</v>
      </c>
    </row>
    <row r="113" spans="1:13" x14ac:dyDescent="0.25">
      <c r="A113" t="s">
        <v>666</v>
      </c>
      <c r="B113" t="s">
        <v>78</v>
      </c>
      <c r="C113" t="s">
        <v>127</v>
      </c>
      <c r="D113">
        <v>2007</v>
      </c>
      <c r="E113" t="s">
        <v>775</v>
      </c>
      <c r="F113" t="s">
        <v>180</v>
      </c>
      <c r="G113" s="1">
        <v>39370</v>
      </c>
      <c r="J113" t="s">
        <v>667</v>
      </c>
      <c r="M113" t="str">
        <f>VLOOKUP(A113,assignments!A:Y,3,FALSE)</f>
        <v>DEE</v>
      </c>
    </row>
    <row r="114" spans="1:13" x14ac:dyDescent="0.25">
      <c r="A114" t="s">
        <v>668</v>
      </c>
      <c r="B114" t="s">
        <v>78</v>
      </c>
      <c r="C114" t="s">
        <v>127</v>
      </c>
      <c r="D114">
        <v>2007</v>
      </c>
      <c r="E114" t="s">
        <v>775</v>
      </c>
      <c r="F114" t="s">
        <v>180</v>
      </c>
      <c r="G114" s="1">
        <v>39371</v>
      </c>
      <c r="I114">
        <v>765</v>
      </c>
      <c r="J114" t="s">
        <v>669</v>
      </c>
      <c r="M114" t="str">
        <f>VLOOKUP(A114,assignments!A:Y,3,FALSE)</f>
        <v>DEE</v>
      </c>
    </row>
    <row r="115" spans="1:13" x14ac:dyDescent="0.25">
      <c r="A115" t="s">
        <v>670</v>
      </c>
      <c r="B115" t="s">
        <v>78</v>
      </c>
      <c r="C115" t="s">
        <v>127</v>
      </c>
      <c r="D115">
        <v>2007</v>
      </c>
      <c r="E115" t="s">
        <v>775</v>
      </c>
      <c r="F115" t="s">
        <v>180</v>
      </c>
      <c r="G115" s="1">
        <v>39371</v>
      </c>
      <c r="I115">
        <v>700</v>
      </c>
      <c r="J115" t="s">
        <v>671</v>
      </c>
      <c r="M115" t="str">
        <f>VLOOKUP(A115,assignments!A:Y,3,FALSE)</f>
        <v>BAT</v>
      </c>
    </row>
    <row r="116" spans="1:13" x14ac:dyDescent="0.25">
      <c r="A116" t="s">
        <v>672</v>
      </c>
      <c r="B116" t="s">
        <v>78</v>
      </c>
      <c r="C116" t="s">
        <v>127</v>
      </c>
      <c r="D116">
        <v>2007</v>
      </c>
      <c r="E116" t="s">
        <v>775</v>
      </c>
      <c r="F116" t="s">
        <v>180</v>
      </c>
      <c r="G116" s="1">
        <v>39373</v>
      </c>
      <c r="I116">
        <v>840</v>
      </c>
      <c r="J116" t="s">
        <v>673</v>
      </c>
      <c r="M116" t="str">
        <f>VLOOKUP(A116,assignments!A:Y,3,FALSE)</f>
        <v>BAT</v>
      </c>
    </row>
    <row r="117" spans="1:13" x14ac:dyDescent="0.25">
      <c r="A117" t="s">
        <v>674</v>
      </c>
      <c r="B117" t="s">
        <v>78</v>
      </c>
      <c r="C117" t="s">
        <v>127</v>
      </c>
      <c r="D117">
        <v>2007</v>
      </c>
      <c r="E117" t="s">
        <v>775</v>
      </c>
      <c r="F117" t="s">
        <v>180</v>
      </c>
      <c r="G117" s="1">
        <v>39374</v>
      </c>
      <c r="I117">
        <v>750</v>
      </c>
      <c r="J117" t="s">
        <v>675</v>
      </c>
      <c r="M117" t="str">
        <f>VLOOKUP(A117,assignments!A:Y,3,FALSE)</f>
        <v>MIL</v>
      </c>
    </row>
    <row r="118" spans="1:13" x14ac:dyDescent="0.25">
      <c r="A118" t="s">
        <v>676</v>
      </c>
      <c r="B118" t="s">
        <v>78</v>
      </c>
      <c r="C118" t="s">
        <v>127</v>
      </c>
      <c r="D118">
        <v>2007</v>
      </c>
      <c r="E118" t="s">
        <v>775</v>
      </c>
      <c r="F118" t="s">
        <v>180</v>
      </c>
      <c r="G118" s="1">
        <v>39385</v>
      </c>
      <c r="J118" t="s">
        <v>677</v>
      </c>
      <c r="M118" t="str">
        <f>VLOOKUP(A118,assignments!A:Y,3,FALSE)</f>
        <v>DEE</v>
      </c>
    </row>
    <row r="119" spans="1:13" x14ac:dyDescent="0.25">
      <c r="A119" t="s">
        <v>678</v>
      </c>
      <c r="B119" t="s">
        <v>78</v>
      </c>
      <c r="C119" t="s">
        <v>127</v>
      </c>
      <c r="D119">
        <v>2007</v>
      </c>
      <c r="E119" t="s">
        <v>775</v>
      </c>
      <c r="F119" t="s">
        <v>180</v>
      </c>
      <c r="G119" s="1">
        <v>39385</v>
      </c>
      <c r="I119">
        <v>720</v>
      </c>
      <c r="J119" t="s">
        <v>679</v>
      </c>
      <c r="M119" t="str">
        <f>VLOOKUP(A119,assignments!A:Y,3,FALSE)</f>
        <v>BAT</v>
      </c>
    </row>
    <row r="120" spans="1:13" x14ac:dyDescent="0.25">
      <c r="A120" t="s">
        <v>680</v>
      </c>
      <c r="B120" t="s">
        <v>78</v>
      </c>
      <c r="C120" t="s">
        <v>127</v>
      </c>
      <c r="D120">
        <v>2007</v>
      </c>
      <c r="E120" t="s">
        <v>775</v>
      </c>
      <c r="F120" t="s">
        <v>180</v>
      </c>
      <c r="G120" s="1">
        <v>39385</v>
      </c>
      <c r="I120">
        <v>860</v>
      </c>
      <c r="J120" t="s">
        <v>681</v>
      </c>
      <c r="M120" t="str">
        <f>VLOOKUP(A120,assignments!A:Y,3,FALSE)</f>
        <v>DEE</v>
      </c>
    </row>
    <row r="121" spans="1:13" x14ac:dyDescent="0.25">
      <c r="A121" t="s">
        <v>682</v>
      </c>
      <c r="B121" t="s">
        <v>78</v>
      </c>
      <c r="C121" t="s">
        <v>127</v>
      </c>
      <c r="D121">
        <v>2007</v>
      </c>
      <c r="E121" t="s">
        <v>775</v>
      </c>
      <c r="F121" t="s">
        <v>180</v>
      </c>
      <c r="G121" s="1">
        <v>39385</v>
      </c>
      <c r="I121">
        <v>640</v>
      </c>
      <c r="J121" t="s">
        <v>683</v>
      </c>
      <c r="M121" t="str">
        <f>VLOOKUP(A121,assignments!A:Y,3,FALSE)</f>
        <v>BAT</v>
      </c>
    </row>
    <row r="122" spans="1:13" x14ac:dyDescent="0.25">
      <c r="A122" t="s">
        <v>684</v>
      </c>
      <c r="B122" t="s">
        <v>78</v>
      </c>
      <c r="C122" t="s">
        <v>127</v>
      </c>
      <c r="D122">
        <v>2007</v>
      </c>
      <c r="E122" t="s">
        <v>775</v>
      </c>
      <c r="F122" t="s">
        <v>180</v>
      </c>
      <c r="G122" s="1">
        <v>39372</v>
      </c>
      <c r="I122">
        <v>865</v>
      </c>
      <c r="J122" t="s">
        <v>685</v>
      </c>
      <c r="M122" t="str">
        <f>VLOOKUP(A122,assignments!A:Y,3,FALSE)</f>
        <v>BAT</v>
      </c>
    </row>
    <row r="123" spans="1:13" x14ac:dyDescent="0.25">
      <c r="A123" t="s">
        <v>686</v>
      </c>
      <c r="B123" t="s">
        <v>78</v>
      </c>
      <c r="C123" t="s">
        <v>127</v>
      </c>
      <c r="D123">
        <v>2007</v>
      </c>
      <c r="E123" t="s">
        <v>775</v>
      </c>
      <c r="F123" t="s">
        <v>180</v>
      </c>
      <c r="G123" s="1">
        <v>39358</v>
      </c>
      <c r="I123">
        <v>890</v>
      </c>
      <c r="J123" t="s">
        <v>687</v>
      </c>
      <c r="M123" t="str">
        <f>VLOOKUP(A123,assignments!A:Y,3,FALSE)</f>
        <v>Unknown</v>
      </c>
    </row>
    <row r="124" spans="1:13" x14ac:dyDescent="0.25">
      <c r="A124" t="s">
        <v>688</v>
      </c>
      <c r="B124" t="s">
        <v>78</v>
      </c>
      <c r="C124" t="s">
        <v>127</v>
      </c>
      <c r="D124">
        <v>2007</v>
      </c>
      <c r="E124" t="s">
        <v>775</v>
      </c>
      <c r="F124" t="s">
        <v>180</v>
      </c>
      <c r="G124" s="1">
        <v>39358</v>
      </c>
      <c r="J124" t="s">
        <v>689</v>
      </c>
      <c r="M124" t="str">
        <f>VLOOKUP(A124,assignments!A:Y,3,FALSE)</f>
        <v>DEE</v>
      </c>
    </row>
    <row r="125" spans="1:13" x14ac:dyDescent="0.25">
      <c r="A125" t="s">
        <v>690</v>
      </c>
      <c r="B125" t="s">
        <v>78</v>
      </c>
      <c r="C125" t="s">
        <v>127</v>
      </c>
      <c r="D125">
        <v>2007</v>
      </c>
      <c r="E125" t="s">
        <v>775</v>
      </c>
      <c r="F125" t="s">
        <v>180</v>
      </c>
      <c r="G125" s="1">
        <v>39373</v>
      </c>
      <c r="I125">
        <v>742</v>
      </c>
      <c r="J125" t="s">
        <v>691</v>
      </c>
      <c r="M125" t="str">
        <f>VLOOKUP(A125,assignments!A:Y,3,FALSE)</f>
        <v>BAT</v>
      </c>
    </row>
    <row r="126" spans="1:13" x14ac:dyDescent="0.25">
      <c r="A126" t="s">
        <v>692</v>
      </c>
      <c r="B126" t="s">
        <v>78</v>
      </c>
      <c r="C126" t="s">
        <v>127</v>
      </c>
      <c r="D126">
        <v>2007</v>
      </c>
      <c r="E126" t="s">
        <v>775</v>
      </c>
      <c r="F126" t="s">
        <v>180</v>
      </c>
      <c r="G126" s="1">
        <v>39373</v>
      </c>
      <c r="I126">
        <v>550</v>
      </c>
      <c r="J126" t="s">
        <v>693</v>
      </c>
      <c r="M126" t="e">
        <f>VLOOKUP(A126,assignments!A:Y,3,FALSE)</f>
        <v>#N/A</v>
      </c>
    </row>
    <row r="127" spans="1:13" x14ac:dyDescent="0.25">
      <c r="A127" t="s">
        <v>694</v>
      </c>
      <c r="B127" t="s">
        <v>78</v>
      </c>
      <c r="C127" t="s">
        <v>127</v>
      </c>
      <c r="D127">
        <v>2007</v>
      </c>
      <c r="E127" t="s">
        <v>775</v>
      </c>
      <c r="F127" t="s">
        <v>180</v>
      </c>
      <c r="G127" s="1">
        <v>39373</v>
      </c>
      <c r="J127" t="s">
        <v>695</v>
      </c>
      <c r="M127" t="str">
        <f>VLOOKUP(A127,assignments!A:Y,3,FALSE)</f>
        <v>DEE</v>
      </c>
    </row>
    <row r="128" spans="1:13" x14ac:dyDescent="0.25">
      <c r="A128" t="s">
        <v>696</v>
      </c>
      <c r="B128" t="s">
        <v>78</v>
      </c>
      <c r="C128" t="s">
        <v>127</v>
      </c>
      <c r="D128">
        <v>2007</v>
      </c>
      <c r="E128" t="s">
        <v>775</v>
      </c>
      <c r="F128" t="s">
        <v>180</v>
      </c>
      <c r="G128" s="1">
        <v>39371</v>
      </c>
      <c r="I128">
        <v>850</v>
      </c>
      <c r="J128" t="s">
        <v>697</v>
      </c>
      <c r="M128" t="str">
        <f>VLOOKUP(A128,assignments!A:Y,3,FALSE)</f>
        <v>BAT</v>
      </c>
    </row>
    <row r="129" spans="1:13" x14ac:dyDescent="0.25">
      <c r="A129" t="s">
        <v>698</v>
      </c>
      <c r="B129" t="s">
        <v>78</v>
      </c>
      <c r="C129" t="s">
        <v>127</v>
      </c>
      <c r="D129">
        <v>2007</v>
      </c>
      <c r="E129" t="s">
        <v>775</v>
      </c>
      <c r="F129" t="s">
        <v>180</v>
      </c>
      <c r="G129" s="1">
        <v>39371</v>
      </c>
      <c r="I129">
        <v>670</v>
      </c>
      <c r="J129" t="s">
        <v>699</v>
      </c>
      <c r="M129" t="str">
        <f>VLOOKUP(A129,assignments!A:Y,3,FALSE)</f>
        <v>BAT</v>
      </c>
    </row>
    <row r="130" spans="1:13" x14ac:dyDescent="0.25">
      <c r="A130" t="s">
        <v>700</v>
      </c>
      <c r="B130" t="s">
        <v>78</v>
      </c>
      <c r="C130" t="s">
        <v>127</v>
      </c>
      <c r="D130">
        <v>2007</v>
      </c>
      <c r="E130" t="s">
        <v>775</v>
      </c>
      <c r="F130" t="s">
        <v>180</v>
      </c>
      <c r="G130" s="1">
        <v>39371</v>
      </c>
      <c r="I130">
        <v>715</v>
      </c>
      <c r="J130" t="s">
        <v>701</v>
      </c>
      <c r="M130" t="str">
        <f>VLOOKUP(A130,assignments!A:Y,3,FALSE)</f>
        <v>BAT</v>
      </c>
    </row>
    <row r="131" spans="1:13" x14ac:dyDescent="0.25">
      <c r="A131" t="s">
        <v>702</v>
      </c>
      <c r="B131" t="s">
        <v>78</v>
      </c>
      <c r="C131" t="s">
        <v>127</v>
      </c>
      <c r="D131">
        <v>2007</v>
      </c>
      <c r="E131" t="s">
        <v>775</v>
      </c>
      <c r="F131" t="s">
        <v>180</v>
      </c>
      <c r="G131" s="1">
        <v>39359</v>
      </c>
      <c r="I131">
        <v>780</v>
      </c>
      <c r="J131" t="s">
        <v>703</v>
      </c>
      <c r="M131" t="str">
        <f>VLOOKUP(A131,assignments!A:Y,3,FALSE)</f>
        <v>BAT</v>
      </c>
    </row>
    <row r="132" spans="1:13" x14ac:dyDescent="0.25">
      <c r="A132" t="s">
        <v>704</v>
      </c>
      <c r="B132" t="s">
        <v>78</v>
      </c>
      <c r="C132" t="s">
        <v>127</v>
      </c>
      <c r="D132">
        <v>2007</v>
      </c>
      <c r="E132" t="s">
        <v>775</v>
      </c>
      <c r="F132" t="s">
        <v>180</v>
      </c>
      <c r="G132" s="1">
        <v>39359</v>
      </c>
      <c r="I132">
        <v>745</v>
      </c>
      <c r="J132" t="s">
        <v>705</v>
      </c>
      <c r="M132" t="str">
        <f>VLOOKUP(A132,assignments!A:Y,3,FALSE)</f>
        <v>DEE</v>
      </c>
    </row>
    <row r="133" spans="1:13" x14ac:dyDescent="0.25">
      <c r="A133" t="s">
        <v>706</v>
      </c>
      <c r="B133" t="s">
        <v>78</v>
      </c>
      <c r="C133" t="s">
        <v>127</v>
      </c>
      <c r="D133">
        <v>2007</v>
      </c>
      <c r="E133" t="s">
        <v>775</v>
      </c>
      <c r="F133" t="s">
        <v>180</v>
      </c>
      <c r="G133" s="1">
        <v>39359</v>
      </c>
      <c r="J133" t="s">
        <v>707</v>
      </c>
      <c r="M133" t="str">
        <f>VLOOKUP(A133,assignments!A:Y,3,FALSE)</f>
        <v>CNH</v>
      </c>
    </row>
    <row r="134" spans="1:13" x14ac:dyDescent="0.25">
      <c r="A134" t="s">
        <v>708</v>
      </c>
      <c r="B134" t="s">
        <v>78</v>
      </c>
      <c r="C134" t="s">
        <v>127</v>
      </c>
      <c r="D134">
        <v>2007</v>
      </c>
      <c r="E134" t="s">
        <v>775</v>
      </c>
      <c r="F134" t="s">
        <v>180</v>
      </c>
      <c r="G134" s="1">
        <v>39371</v>
      </c>
      <c r="I134">
        <v>700</v>
      </c>
      <c r="J134" t="s">
        <v>709</v>
      </c>
      <c r="M134" t="str">
        <f>VLOOKUP(A134,assignments!A:Y,3,FALSE)</f>
        <v>MIL</v>
      </c>
    </row>
    <row r="135" spans="1:13" x14ac:dyDescent="0.25">
      <c r="A135" t="s">
        <v>710</v>
      </c>
      <c r="B135" t="s">
        <v>78</v>
      </c>
      <c r="C135" t="s">
        <v>127</v>
      </c>
      <c r="D135">
        <v>2007</v>
      </c>
      <c r="E135" t="s">
        <v>775</v>
      </c>
      <c r="F135" t="s">
        <v>180</v>
      </c>
      <c r="G135" s="1">
        <v>39371</v>
      </c>
      <c r="I135">
        <v>745</v>
      </c>
      <c r="J135" t="s">
        <v>711</v>
      </c>
      <c r="M135" t="e">
        <f>VLOOKUP(A135,assignments!A:Y,3,FALSE)</f>
        <v>#N/A</v>
      </c>
    </row>
    <row r="136" spans="1:13" x14ac:dyDescent="0.25">
      <c r="A136" t="s">
        <v>712</v>
      </c>
      <c r="B136" t="s">
        <v>78</v>
      </c>
      <c r="C136" t="s">
        <v>127</v>
      </c>
      <c r="D136">
        <v>2007</v>
      </c>
      <c r="E136" t="s">
        <v>775</v>
      </c>
      <c r="F136" t="s">
        <v>180</v>
      </c>
      <c r="G136" s="1">
        <v>39371</v>
      </c>
      <c r="I136">
        <v>800</v>
      </c>
      <c r="J136" t="s">
        <v>713</v>
      </c>
      <c r="M136" t="str">
        <f>VLOOKUP(A136,assignments!A:Y,3,FALSE)</f>
        <v>BAT</v>
      </c>
    </row>
    <row r="137" spans="1:13" x14ac:dyDescent="0.25">
      <c r="A137" t="s">
        <v>714</v>
      </c>
      <c r="B137" t="s">
        <v>78</v>
      </c>
      <c r="C137" t="s">
        <v>127</v>
      </c>
      <c r="D137">
        <v>2007</v>
      </c>
      <c r="E137" t="s">
        <v>775</v>
      </c>
      <c r="F137" t="s">
        <v>180</v>
      </c>
      <c r="G137" s="1">
        <v>39371</v>
      </c>
      <c r="I137">
        <v>780</v>
      </c>
      <c r="J137" t="s">
        <v>715</v>
      </c>
      <c r="M137" t="str">
        <f>VLOOKUP(A137,assignments!A:Y,3,FALSE)</f>
        <v>MIL</v>
      </c>
    </row>
    <row r="138" spans="1:13" x14ac:dyDescent="0.25">
      <c r="A138" t="s">
        <v>716</v>
      </c>
      <c r="B138" t="s">
        <v>78</v>
      </c>
      <c r="C138" t="s">
        <v>127</v>
      </c>
      <c r="D138">
        <v>2007</v>
      </c>
      <c r="E138" t="s">
        <v>775</v>
      </c>
      <c r="F138" t="s">
        <v>180</v>
      </c>
      <c r="G138" s="1">
        <v>39385</v>
      </c>
      <c r="I138">
        <v>825</v>
      </c>
      <c r="J138" t="s">
        <v>717</v>
      </c>
      <c r="M138" t="str">
        <f>VLOOKUP(A138,assignments!A:Y,3,FALSE)</f>
        <v>Unknown</v>
      </c>
    </row>
    <row r="139" spans="1:13" x14ac:dyDescent="0.25">
      <c r="A139" t="s">
        <v>720</v>
      </c>
      <c r="B139" t="s">
        <v>78</v>
      </c>
      <c r="C139" t="s">
        <v>127</v>
      </c>
      <c r="D139">
        <v>2007</v>
      </c>
      <c r="E139" t="s">
        <v>775</v>
      </c>
      <c r="F139" t="s">
        <v>180</v>
      </c>
      <c r="G139" s="1">
        <v>39372</v>
      </c>
      <c r="I139">
        <v>775</v>
      </c>
      <c r="J139" t="s">
        <v>721</v>
      </c>
      <c r="M139" t="str">
        <f>VLOOKUP(A139,assignments!A:Y,3,FALSE)</f>
        <v>BAT</v>
      </c>
    </row>
    <row r="140" spans="1:13" x14ac:dyDescent="0.25">
      <c r="A140" t="s">
        <v>734</v>
      </c>
      <c r="B140" t="s">
        <v>78</v>
      </c>
      <c r="C140" t="s">
        <v>127</v>
      </c>
      <c r="D140">
        <v>2007</v>
      </c>
      <c r="E140" t="s">
        <v>775</v>
      </c>
      <c r="F140" t="s">
        <v>180</v>
      </c>
      <c r="G140" s="1">
        <v>39372</v>
      </c>
      <c r="I140">
        <v>655</v>
      </c>
      <c r="J140" t="s">
        <v>735</v>
      </c>
      <c r="M140" t="str">
        <f>VLOOKUP(A140,assignments!A:Y,3,FALSE)</f>
        <v>BAT</v>
      </c>
    </row>
    <row r="141" spans="1:13" x14ac:dyDescent="0.25">
      <c r="A141" t="s">
        <v>752</v>
      </c>
      <c r="B141" t="s">
        <v>78</v>
      </c>
      <c r="C141" t="s">
        <v>127</v>
      </c>
      <c r="D141">
        <v>2007</v>
      </c>
      <c r="E141" t="s">
        <v>775</v>
      </c>
      <c r="F141" t="s">
        <v>180</v>
      </c>
      <c r="G141" s="1">
        <v>39372</v>
      </c>
      <c r="I141">
        <v>750</v>
      </c>
      <c r="J141" t="s">
        <v>753</v>
      </c>
      <c r="M141" t="str">
        <f>VLOOKUP(A141,assignments!A:Y,3,FALSE)</f>
        <v>BAT</v>
      </c>
    </row>
    <row r="142" spans="1:13" x14ac:dyDescent="0.25">
      <c r="A142" t="s">
        <v>468</v>
      </c>
      <c r="B142" t="s">
        <v>78</v>
      </c>
      <c r="C142" t="s">
        <v>127</v>
      </c>
      <c r="D142">
        <v>2008</v>
      </c>
      <c r="E142" t="s">
        <v>775</v>
      </c>
      <c r="F142" t="s">
        <v>180</v>
      </c>
      <c r="G142" s="1">
        <v>39735</v>
      </c>
      <c r="I142">
        <v>790</v>
      </c>
      <c r="J142" t="s">
        <v>469</v>
      </c>
      <c r="M142" t="str">
        <f>VLOOKUP(A142,assignments!A:Y,3,FALSE)</f>
        <v>SAC</v>
      </c>
    </row>
    <row r="143" spans="1:13" hidden="1" x14ac:dyDescent="0.25">
      <c r="A143" t="s">
        <v>504</v>
      </c>
      <c r="B143" t="s">
        <v>78</v>
      </c>
      <c r="C143" t="s">
        <v>127</v>
      </c>
      <c r="D143">
        <v>2008</v>
      </c>
      <c r="E143" t="s">
        <v>775</v>
      </c>
      <c r="F143" t="s">
        <v>180</v>
      </c>
      <c r="G143" s="1">
        <v>39736</v>
      </c>
      <c r="I143">
        <v>840</v>
      </c>
      <c r="J143" t="s">
        <v>505</v>
      </c>
      <c r="K143" t="s">
        <v>778</v>
      </c>
      <c r="M143" t="str">
        <f>VLOOKUP(A143,assignments!A:Y,3,FALSE)</f>
        <v>FEA</v>
      </c>
    </row>
    <row r="144" spans="1:13" x14ac:dyDescent="0.25">
      <c r="A144" t="s">
        <v>522</v>
      </c>
      <c r="B144" t="s">
        <v>78</v>
      </c>
      <c r="C144" t="s">
        <v>127</v>
      </c>
      <c r="D144">
        <v>2008</v>
      </c>
      <c r="E144" t="s">
        <v>775</v>
      </c>
      <c r="F144" t="s">
        <v>180</v>
      </c>
      <c r="G144" s="1">
        <v>39736</v>
      </c>
      <c r="I144">
        <v>760</v>
      </c>
      <c r="J144" t="s">
        <v>523</v>
      </c>
      <c r="M144" t="str">
        <f>VLOOKUP(A144,assignments!A:Y,3,FALSE)</f>
        <v>BUT</v>
      </c>
    </row>
    <row r="145" spans="1:13" x14ac:dyDescent="0.25">
      <c r="A145" t="s">
        <v>722</v>
      </c>
      <c r="B145" t="s">
        <v>78</v>
      </c>
      <c r="C145" t="s">
        <v>127</v>
      </c>
      <c r="D145">
        <v>2008</v>
      </c>
      <c r="E145" t="s">
        <v>775</v>
      </c>
      <c r="F145" t="s">
        <v>180</v>
      </c>
      <c r="G145" s="1">
        <v>39751</v>
      </c>
      <c r="I145">
        <v>970</v>
      </c>
      <c r="J145" t="s">
        <v>723</v>
      </c>
      <c r="M145" t="str">
        <f>VLOOKUP(A145,assignments!A:Y,3,FALSE)</f>
        <v>DEE</v>
      </c>
    </row>
    <row r="146" spans="1:13" hidden="1" x14ac:dyDescent="0.25">
      <c r="A146" t="s">
        <v>736</v>
      </c>
      <c r="B146" t="s">
        <v>78</v>
      </c>
      <c r="C146" t="s">
        <v>127</v>
      </c>
      <c r="D146">
        <v>2008</v>
      </c>
      <c r="E146" t="s">
        <v>775</v>
      </c>
      <c r="F146" t="s">
        <v>180</v>
      </c>
      <c r="G146" s="1">
        <v>39749</v>
      </c>
      <c r="I146">
        <v>650</v>
      </c>
      <c r="J146" t="s">
        <v>737</v>
      </c>
      <c r="K146" t="s">
        <v>778</v>
      </c>
      <c r="M146" t="str">
        <f>VLOOKUP(A146,assignments!A:Y,3,FALSE)</f>
        <v>THE</v>
      </c>
    </row>
    <row r="147" spans="1:13" x14ac:dyDescent="0.25">
      <c r="A147" t="s">
        <v>754</v>
      </c>
      <c r="B147" t="s">
        <v>78</v>
      </c>
      <c r="C147" t="s">
        <v>127</v>
      </c>
      <c r="D147">
        <v>2008</v>
      </c>
      <c r="E147" t="s">
        <v>775</v>
      </c>
      <c r="F147" t="s">
        <v>180</v>
      </c>
      <c r="G147" s="1">
        <v>39736</v>
      </c>
      <c r="I147">
        <v>770</v>
      </c>
      <c r="J147" t="s">
        <v>755</v>
      </c>
      <c r="M147" t="str">
        <f>VLOOKUP(A147,assignments!A:Y,3,FALSE)</f>
        <v>CNH</v>
      </c>
    </row>
    <row r="148" spans="1:13" x14ac:dyDescent="0.25">
      <c r="A148" t="s">
        <v>446</v>
      </c>
      <c r="B148" t="s">
        <v>78</v>
      </c>
      <c r="C148" t="s">
        <v>127</v>
      </c>
      <c r="D148">
        <v>2009</v>
      </c>
      <c r="E148" t="s">
        <v>775</v>
      </c>
      <c r="F148" t="s">
        <v>180</v>
      </c>
      <c r="G148" s="1">
        <v>40121</v>
      </c>
      <c r="J148" t="s">
        <v>447</v>
      </c>
      <c r="M148" t="str">
        <f>VLOOKUP(A148,assignments!A:Y,3,FALSE)</f>
        <v>DEE</v>
      </c>
    </row>
    <row r="149" spans="1:13" x14ac:dyDescent="0.25">
      <c r="A149" t="s">
        <v>448</v>
      </c>
      <c r="B149" t="s">
        <v>78</v>
      </c>
      <c r="C149" t="s">
        <v>127</v>
      </c>
      <c r="D149">
        <v>2009</v>
      </c>
      <c r="E149" t="s">
        <v>775</v>
      </c>
      <c r="F149" t="s">
        <v>180</v>
      </c>
      <c r="G149" s="1">
        <v>39908</v>
      </c>
      <c r="I149">
        <v>670</v>
      </c>
      <c r="J149" t="s">
        <v>449</v>
      </c>
      <c r="M149" t="e">
        <f>VLOOKUP(A149,assignments!A:Y,3,FALSE)</f>
        <v>#N/A</v>
      </c>
    </row>
    <row r="150" spans="1:13" x14ac:dyDescent="0.25">
      <c r="A150" t="s">
        <v>456</v>
      </c>
      <c r="B150" t="s">
        <v>78</v>
      </c>
      <c r="C150" t="s">
        <v>127</v>
      </c>
      <c r="D150">
        <v>2009</v>
      </c>
      <c r="E150" t="s">
        <v>775</v>
      </c>
      <c r="F150" t="s">
        <v>180</v>
      </c>
      <c r="G150" s="1">
        <v>40092</v>
      </c>
      <c r="I150">
        <v>770</v>
      </c>
      <c r="J150" t="s">
        <v>457</v>
      </c>
      <c r="M150" t="str">
        <f>VLOOKUP(A150,assignments!A:Y,3,FALSE)</f>
        <v>CNH</v>
      </c>
    </row>
    <row r="151" spans="1:13" hidden="1" x14ac:dyDescent="0.25">
      <c r="A151" t="s">
        <v>458</v>
      </c>
      <c r="B151" t="s">
        <v>78</v>
      </c>
      <c r="C151" t="s">
        <v>127</v>
      </c>
      <c r="D151">
        <v>2009</v>
      </c>
      <c r="E151" t="s">
        <v>775</v>
      </c>
      <c r="F151" t="s">
        <v>180</v>
      </c>
      <c r="G151" s="1">
        <v>40122</v>
      </c>
      <c r="I151">
        <v>875</v>
      </c>
      <c r="J151" t="s">
        <v>459</v>
      </c>
      <c r="K151" t="s">
        <v>778</v>
      </c>
      <c r="M151" t="str">
        <f>VLOOKUP(A151,assignments!A:Y,3,FALSE)</f>
        <v>FEA</v>
      </c>
    </row>
    <row r="152" spans="1:13" x14ac:dyDescent="0.25">
      <c r="A152" t="s">
        <v>470</v>
      </c>
      <c r="B152" t="s">
        <v>78</v>
      </c>
      <c r="C152" t="s">
        <v>127</v>
      </c>
      <c r="D152">
        <v>2009</v>
      </c>
      <c r="E152" t="s">
        <v>775</v>
      </c>
      <c r="F152" t="s">
        <v>180</v>
      </c>
      <c r="G152" s="1">
        <v>40122</v>
      </c>
      <c r="I152">
        <v>715</v>
      </c>
      <c r="J152" t="s">
        <v>471</v>
      </c>
      <c r="M152" t="str">
        <f>VLOOKUP(A152,assignments!A:Y,3,FALSE)</f>
        <v>DEE</v>
      </c>
    </row>
    <row r="153" spans="1:13" x14ac:dyDescent="0.25">
      <c r="A153" t="s">
        <v>480</v>
      </c>
      <c r="B153" t="s">
        <v>78</v>
      </c>
      <c r="C153" t="s">
        <v>127</v>
      </c>
      <c r="D153">
        <v>2009</v>
      </c>
      <c r="E153" t="s">
        <v>775</v>
      </c>
      <c r="F153" t="s">
        <v>180</v>
      </c>
      <c r="G153" s="1">
        <v>40094</v>
      </c>
      <c r="I153">
        <v>710</v>
      </c>
      <c r="J153" t="s">
        <v>481</v>
      </c>
      <c r="M153" t="str">
        <f>VLOOKUP(A153,assignments!A:Y,3,FALSE)</f>
        <v>MIL</v>
      </c>
    </row>
    <row r="154" spans="1:13" x14ac:dyDescent="0.25">
      <c r="A154" t="s">
        <v>482</v>
      </c>
      <c r="B154" t="s">
        <v>78</v>
      </c>
      <c r="C154" t="s">
        <v>127</v>
      </c>
      <c r="D154">
        <v>2009</v>
      </c>
      <c r="E154" t="s">
        <v>775</v>
      </c>
      <c r="F154" t="s">
        <v>180</v>
      </c>
      <c r="G154" s="1">
        <v>40122</v>
      </c>
      <c r="I154">
        <v>760</v>
      </c>
      <c r="J154" t="s">
        <v>483</v>
      </c>
      <c r="M154" t="str">
        <f>VLOOKUP(A154,assignments!A:Y,3,FALSE)</f>
        <v>DEE</v>
      </c>
    </row>
    <row r="155" spans="1:13" x14ac:dyDescent="0.25">
      <c r="A155" t="s">
        <v>492</v>
      </c>
      <c r="B155" t="s">
        <v>78</v>
      </c>
      <c r="C155" t="s">
        <v>127</v>
      </c>
      <c r="D155">
        <v>2009</v>
      </c>
      <c r="E155" t="s">
        <v>775</v>
      </c>
      <c r="F155" t="s">
        <v>180</v>
      </c>
      <c r="G155" s="1">
        <v>40094</v>
      </c>
      <c r="I155">
        <v>820</v>
      </c>
      <c r="J155" t="s">
        <v>493</v>
      </c>
      <c r="M155" t="str">
        <f>VLOOKUP(A155,assignments!A:Y,3,FALSE)</f>
        <v>BAT</v>
      </c>
    </row>
    <row r="156" spans="1:13" x14ac:dyDescent="0.25">
      <c r="A156" t="s">
        <v>494</v>
      </c>
      <c r="B156" t="s">
        <v>78</v>
      </c>
      <c r="C156" t="s">
        <v>127</v>
      </c>
      <c r="D156">
        <v>2009</v>
      </c>
      <c r="E156" t="s">
        <v>775</v>
      </c>
      <c r="F156" t="s">
        <v>180</v>
      </c>
      <c r="G156" s="1">
        <v>40122</v>
      </c>
      <c r="I156">
        <v>710</v>
      </c>
      <c r="J156" t="s">
        <v>495</v>
      </c>
      <c r="M156" t="str">
        <f>VLOOKUP(A156,assignments!A:Y,3,FALSE)</f>
        <v>CNH</v>
      </c>
    </row>
    <row r="157" spans="1:13" x14ac:dyDescent="0.25">
      <c r="A157" t="s">
        <v>506</v>
      </c>
      <c r="B157" t="s">
        <v>78</v>
      </c>
      <c r="C157" t="s">
        <v>127</v>
      </c>
      <c r="D157">
        <v>2009</v>
      </c>
      <c r="E157" t="s">
        <v>775</v>
      </c>
      <c r="F157" t="s">
        <v>180</v>
      </c>
      <c r="G157" s="1">
        <v>40094</v>
      </c>
      <c r="I157">
        <v>765</v>
      </c>
      <c r="J157" t="s">
        <v>507</v>
      </c>
      <c r="M157" t="str">
        <f>VLOOKUP(A157,assignments!A:Y,3,FALSE)</f>
        <v>BAT</v>
      </c>
    </row>
    <row r="158" spans="1:13" x14ac:dyDescent="0.25">
      <c r="A158" t="s">
        <v>508</v>
      </c>
      <c r="B158" t="s">
        <v>78</v>
      </c>
      <c r="C158" t="s">
        <v>127</v>
      </c>
      <c r="D158">
        <v>2009</v>
      </c>
      <c r="E158" t="s">
        <v>775</v>
      </c>
      <c r="F158" t="s">
        <v>180</v>
      </c>
      <c r="G158" s="1">
        <v>40122</v>
      </c>
      <c r="I158">
        <v>810</v>
      </c>
      <c r="J158" t="s">
        <v>509</v>
      </c>
      <c r="M158" t="str">
        <f>VLOOKUP(A158,assignments!A:Y,3,FALSE)</f>
        <v>BAT</v>
      </c>
    </row>
    <row r="159" spans="1:13" x14ac:dyDescent="0.25">
      <c r="A159" t="s">
        <v>520</v>
      </c>
      <c r="B159" t="s">
        <v>78</v>
      </c>
      <c r="C159" t="s">
        <v>127</v>
      </c>
      <c r="D159">
        <v>2009</v>
      </c>
      <c r="E159" t="s">
        <v>775</v>
      </c>
      <c r="F159" t="s">
        <v>180</v>
      </c>
      <c r="G159" s="1">
        <v>40094</v>
      </c>
      <c r="I159">
        <v>720</v>
      </c>
      <c r="J159" t="s">
        <v>521</v>
      </c>
      <c r="M159" t="str">
        <f>VLOOKUP(A159,assignments!A:Y,3,FALSE)</f>
        <v>BAT</v>
      </c>
    </row>
    <row r="160" spans="1:13" x14ac:dyDescent="0.25">
      <c r="A160" t="s">
        <v>524</v>
      </c>
      <c r="B160" t="s">
        <v>78</v>
      </c>
      <c r="C160" t="s">
        <v>127</v>
      </c>
      <c r="D160">
        <v>2009</v>
      </c>
      <c r="E160" t="s">
        <v>775</v>
      </c>
      <c r="F160" t="s">
        <v>180</v>
      </c>
      <c r="G160" s="1">
        <v>40122</v>
      </c>
      <c r="I160">
        <v>800</v>
      </c>
      <c r="J160" t="s">
        <v>525</v>
      </c>
      <c r="M160" t="str">
        <f>VLOOKUP(A160,assignments!A:Y,3,FALSE)</f>
        <v>CNH</v>
      </c>
    </row>
    <row r="161" spans="1:13" x14ac:dyDescent="0.25">
      <c r="A161" t="s">
        <v>724</v>
      </c>
      <c r="B161" t="s">
        <v>78</v>
      </c>
      <c r="C161" t="s">
        <v>127</v>
      </c>
      <c r="D161">
        <v>2009</v>
      </c>
      <c r="E161" t="s">
        <v>775</v>
      </c>
      <c r="F161" t="s">
        <v>180</v>
      </c>
      <c r="G161" s="1">
        <v>40093</v>
      </c>
      <c r="I161">
        <v>855</v>
      </c>
      <c r="J161" t="s">
        <v>725</v>
      </c>
      <c r="M161" t="str">
        <f>VLOOKUP(A161,assignments!A:Y,3,FALSE)</f>
        <v>BAT</v>
      </c>
    </row>
    <row r="162" spans="1:13" x14ac:dyDescent="0.25">
      <c r="A162" t="s">
        <v>726</v>
      </c>
      <c r="B162" t="s">
        <v>78</v>
      </c>
      <c r="C162" t="s">
        <v>127</v>
      </c>
      <c r="D162">
        <v>2009</v>
      </c>
      <c r="E162" t="s">
        <v>775</v>
      </c>
      <c r="F162" t="s">
        <v>180</v>
      </c>
      <c r="G162" s="1">
        <v>40122</v>
      </c>
      <c r="I162">
        <v>840</v>
      </c>
      <c r="J162" t="s">
        <v>727</v>
      </c>
      <c r="M162" t="str">
        <f>VLOOKUP(A162,assignments!A:Y,3,FALSE)</f>
        <v>Unknown</v>
      </c>
    </row>
    <row r="163" spans="1:13" x14ac:dyDescent="0.25">
      <c r="A163" t="s">
        <v>738</v>
      </c>
      <c r="B163" t="s">
        <v>78</v>
      </c>
      <c r="C163" t="s">
        <v>127</v>
      </c>
      <c r="D163">
        <v>2009</v>
      </c>
      <c r="E163" t="s">
        <v>775</v>
      </c>
      <c r="F163" t="s">
        <v>180</v>
      </c>
      <c r="G163" s="1">
        <v>40093</v>
      </c>
      <c r="I163">
        <v>810</v>
      </c>
      <c r="J163" t="s">
        <v>739</v>
      </c>
      <c r="M163" t="str">
        <f>VLOOKUP(A163,assignments!A:Y,3,FALSE)</f>
        <v>DEE</v>
      </c>
    </row>
    <row r="164" spans="1:13" x14ac:dyDescent="0.25">
      <c r="A164" t="s">
        <v>740</v>
      </c>
      <c r="B164" t="s">
        <v>78</v>
      </c>
      <c r="C164" t="s">
        <v>127</v>
      </c>
      <c r="D164">
        <v>2009</v>
      </c>
      <c r="E164" t="s">
        <v>775</v>
      </c>
      <c r="F164" t="s">
        <v>180</v>
      </c>
      <c r="G164" s="1">
        <v>40122</v>
      </c>
      <c r="J164" t="s">
        <v>741</v>
      </c>
      <c r="M164" t="str">
        <f>VLOOKUP(A164,assignments!A:Y,3,FALSE)</f>
        <v>DEE</v>
      </c>
    </row>
    <row r="165" spans="1:13" x14ac:dyDescent="0.25">
      <c r="A165" t="s">
        <v>756</v>
      </c>
      <c r="B165" t="s">
        <v>78</v>
      </c>
      <c r="C165" t="s">
        <v>127</v>
      </c>
      <c r="D165">
        <v>2009</v>
      </c>
      <c r="E165" t="s">
        <v>775</v>
      </c>
      <c r="F165" t="s">
        <v>180</v>
      </c>
      <c r="J165" t="s">
        <v>757</v>
      </c>
      <c r="M165" t="str">
        <f>VLOOKUP(A165,assignments!A:Y,3,FALSE)</f>
        <v>DEE</v>
      </c>
    </row>
    <row r="166" spans="1:13" x14ac:dyDescent="0.25">
      <c r="A166" t="s">
        <v>758</v>
      </c>
      <c r="B166" t="s">
        <v>78</v>
      </c>
      <c r="C166" t="s">
        <v>127</v>
      </c>
      <c r="D166">
        <v>2009</v>
      </c>
      <c r="E166" t="s">
        <v>775</v>
      </c>
      <c r="F166" t="s">
        <v>180</v>
      </c>
      <c r="G166" s="1">
        <v>40093</v>
      </c>
      <c r="I166">
        <v>650</v>
      </c>
      <c r="J166" t="s">
        <v>759</v>
      </c>
      <c r="M166" t="str">
        <f>VLOOKUP(A166,assignments!A:Y,3,FALSE)</f>
        <v>BAT</v>
      </c>
    </row>
    <row r="167" spans="1:13" hidden="1" x14ac:dyDescent="0.25">
      <c r="A167" t="s">
        <v>450</v>
      </c>
      <c r="B167" t="s">
        <v>78</v>
      </c>
      <c r="C167" t="s">
        <v>127</v>
      </c>
      <c r="D167">
        <v>2010</v>
      </c>
      <c r="E167" t="s">
        <v>775</v>
      </c>
      <c r="F167" t="s">
        <v>180</v>
      </c>
      <c r="G167" s="1">
        <v>40458</v>
      </c>
      <c r="I167">
        <v>780</v>
      </c>
      <c r="J167" t="s">
        <v>451</v>
      </c>
      <c r="K167" t="s">
        <v>778</v>
      </c>
      <c r="M167" t="str">
        <f>VLOOKUP(A167,assignments!A:Y,3,FALSE)</f>
        <v>FRH</v>
      </c>
    </row>
    <row r="168" spans="1:13" hidden="1" x14ac:dyDescent="0.25">
      <c r="A168" t="s">
        <v>452</v>
      </c>
      <c r="B168" t="s">
        <v>78</v>
      </c>
      <c r="C168" t="s">
        <v>127</v>
      </c>
      <c r="D168">
        <v>2010</v>
      </c>
      <c r="E168" t="s">
        <v>775</v>
      </c>
      <c r="F168" t="s">
        <v>180</v>
      </c>
      <c r="G168" s="1">
        <v>40464</v>
      </c>
      <c r="I168">
        <v>910</v>
      </c>
      <c r="J168" t="s">
        <v>453</v>
      </c>
      <c r="K168" t="s">
        <v>778</v>
      </c>
      <c r="M168" t="str">
        <f>VLOOKUP(A168,assignments!A:Y,3,FALSE)</f>
        <v>FRH</v>
      </c>
    </row>
    <row r="169" spans="1:13" x14ac:dyDescent="0.25">
      <c r="A169" t="s">
        <v>460</v>
      </c>
      <c r="B169" t="s">
        <v>78</v>
      </c>
      <c r="C169" t="s">
        <v>127</v>
      </c>
      <c r="D169">
        <v>2010</v>
      </c>
      <c r="E169" t="s">
        <v>775</v>
      </c>
      <c r="F169" t="s">
        <v>180</v>
      </c>
      <c r="G169" s="1">
        <v>40458</v>
      </c>
      <c r="I169">
        <v>650</v>
      </c>
      <c r="J169" t="s">
        <v>461</v>
      </c>
      <c r="M169" t="str">
        <f>VLOOKUP(A169,assignments!A:Y,3,FALSE)</f>
        <v>Unknown</v>
      </c>
    </row>
    <row r="170" spans="1:13" x14ac:dyDescent="0.25">
      <c r="A170" t="s">
        <v>462</v>
      </c>
      <c r="B170" t="s">
        <v>78</v>
      </c>
      <c r="C170" t="s">
        <v>127</v>
      </c>
      <c r="D170">
        <v>2010</v>
      </c>
      <c r="E170" t="s">
        <v>775</v>
      </c>
      <c r="F170" t="s">
        <v>180</v>
      </c>
      <c r="G170" s="1">
        <v>40464</v>
      </c>
      <c r="J170" t="s">
        <v>463</v>
      </c>
      <c r="M170" t="str">
        <f>VLOOKUP(A170,assignments!A:Y,3,FALSE)</f>
        <v>CNH</v>
      </c>
    </row>
    <row r="171" spans="1:13" x14ac:dyDescent="0.25">
      <c r="A171" t="s">
        <v>464</v>
      </c>
      <c r="B171" t="s">
        <v>78</v>
      </c>
      <c r="C171" t="s">
        <v>127</v>
      </c>
      <c r="D171">
        <v>2010</v>
      </c>
      <c r="E171" t="s">
        <v>775</v>
      </c>
      <c r="F171" t="s">
        <v>180</v>
      </c>
      <c r="G171" s="1">
        <v>40464</v>
      </c>
      <c r="I171">
        <v>730</v>
      </c>
      <c r="J171" t="s">
        <v>465</v>
      </c>
      <c r="M171" t="str">
        <f>VLOOKUP(A171,assignments!A:Y,3,FALSE)</f>
        <v>BAT</v>
      </c>
    </row>
    <row r="172" spans="1:13" hidden="1" x14ac:dyDescent="0.25">
      <c r="A172" t="s">
        <v>472</v>
      </c>
      <c r="B172" t="s">
        <v>78</v>
      </c>
      <c r="C172" t="s">
        <v>127</v>
      </c>
      <c r="D172">
        <v>2010</v>
      </c>
      <c r="E172" t="s">
        <v>775</v>
      </c>
      <c r="F172" t="s">
        <v>180</v>
      </c>
      <c r="G172" s="1">
        <v>40458</v>
      </c>
      <c r="I172">
        <v>780</v>
      </c>
      <c r="J172" t="s">
        <v>473</v>
      </c>
      <c r="K172" t="s">
        <v>778</v>
      </c>
      <c r="M172" t="str">
        <f>VLOOKUP(A172,assignments!A:Y,3,FALSE)</f>
        <v>FEA</v>
      </c>
    </row>
    <row r="173" spans="1:13" hidden="1" x14ac:dyDescent="0.25">
      <c r="A173" t="s">
        <v>474</v>
      </c>
      <c r="B173" t="s">
        <v>78</v>
      </c>
      <c r="C173" t="s">
        <v>127</v>
      </c>
      <c r="D173">
        <v>2010</v>
      </c>
      <c r="E173" t="s">
        <v>775</v>
      </c>
      <c r="F173" t="s">
        <v>180</v>
      </c>
      <c r="G173" s="1">
        <v>40464</v>
      </c>
      <c r="J173" t="s">
        <v>475</v>
      </c>
      <c r="K173" t="s">
        <v>778</v>
      </c>
      <c r="M173" t="str">
        <f>VLOOKUP(A173,assignments!A:Y,3,FALSE)</f>
        <v>FRH</v>
      </c>
    </row>
    <row r="174" spans="1:13" x14ac:dyDescent="0.25">
      <c r="A174" t="s">
        <v>476</v>
      </c>
      <c r="B174" t="s">
        <v>78</v>
      </c>
      <c r="C174" t="s">
        <v>127</v>
      </c>
      <c r="D174">
        <v>2010</v>
      </c>
      <c r="E174" t="s">
        <v>775</v>
      </c>
      <c r="F174" t="s">
        <v>180</v>
      </c>
      <c r="G174" s="1">
        <v>40464</v>
      </c>
      <c r="I174">
        <v>940</v>
      </c>
      <c r="J174" t="s">
        <v>477</v>
      </c>
      <c r="M174" t="str">
        <f>VLOOKUP(A174,assignments!A:Y,3,FALSE)</f>
        <v>MIL</v>
      </c>
    </row>
    <row r="175" spans="1:13" x14ac:dyDescent="0.25">
      <c r="A175" t="s">
        <v>484</v>
      </c>
      <c r="B175" t="s">
        <v>78</v>
      </c>
      <c r="C175" t="s">
        <v>127</v>
      </c>
      <c r="D175">
        <v>2010</v>
      </c>
      <c r="E175" t="s">
        <v>775</v>
      </c>
      <c r="F175" t="s">
        <v>180</v>
      </c>
      <c r="G175" s="1">
        <v>40458</v>
      </c>
      <c r="I175">
        <v>660</v>
      </c>
      <c r="J175" t="s">
        <v>485</v>
      </c>
      <c r="M175" t="str">
        <f>VLOOKUP(A175,assignments!A:Y,3,FALSE)</f>
        <v>SAC</v>
      </c>
    </row>
    <row r="176" spans="1:13" x14ac:dyDescent="0.25">
      <c r="A176" t="s">
        <v>486</v>
      </c>
      <c r="B176" t="s">
        <v>78</v>
      </c>
      <c r="C176" t="s">
        <v>127</v>
      </c>
      <c r="D176">
        <v>2010</v>
      </c>
      <c r="E176" t="s">
        <v>775</v>
      </c>
      <c r="F176" t="s">
        <v>180</v>
      </c>
      <c r="G176" s="1">
        <v>40463</v>
      </c>
      <c r="I176">
        <v>600</v>
      </c>
      <c r="J176" t="s">
        <v>487</v>
      </c>
      <c r="M176" t="str">
        <f>VLOOKUP(A176,assignments!A:Y,3,FALSE)</f>
        <v>CNH</v>
      </c>
    </row>
    <row r="177" spans="1:13" x14ac:dyDescent="0.25">
      <c r="A177" t="s">
        <v>488</v>
      </c>
      <c r="B177" t="s">
        <v>78</v>
      </c>
      <c r="C177" t="s">
        <v>127</v>
      </c>
      <c r="D177">
        <v>2010</v>
      </c>
      <c r="E177" t="s">
        <v>775</v>
      </c>
      <c r="F177" t="s">
        <v>180</v>
      </c>
      <c r="G177" s="1">
        <v>40463</v>
      </c>
      <c r="J177" t="s">
        <v>489</v>
      </c>
      <c r="M177" t="str">
        <f>VLOOKUP(A177,assignments!A:Y,3,FALSE)</f>
        <v>BAT</v>
      </c>
    </row>
    <row r="178" spans="1:13" x14ac:dyDescent="0.25">
      <c r="A178" t="s">
        <v>496</v>
      </c>
      <c r="B178" t="s">
        <v>78</v>
      </c>
      <c r="C178" t="s">
        <v>127</v>
      </c>
      <c r="D178">
        <v>2010</v>
      </c>
      <c r="E178" t="s">
        <v>775</v>
      </c>
      <c r="F178" t="s">
        <v>180</v>
      </c>
      <c r="G178" s="1">
        <v>40458</v>
      </c>
      <c r="I178">
        <v>860</v>
      </c>
      <c r="J178" t="s">
        <v>497</v>
      </c>
      <c r="M178" t="str">
        <f>VLOOKUP(A178,assignments!A:Y,3,FALSE)</f>
        <v>MIL</v>
      </c>
    </row>
    <row r="179" spans="1:13" hidden="1" x14ac:dyDescent="0.25">
      <c r="A179" t="s">
        <v>498</v>
      </c>
      <c r="B179" t="s">
        <v>78</v>
      </c>
      <c r="C179" t="s">
        <v>127</v>
      </c>
      <c r="D179">
        <v>2010</v>
      </c>
      <c r="E179" t="s">
        <v>775</v>
      </c>
      <c r="F179" t="s">
        <v>180</v>
      </c>
      <c r="G179" s="1">
        <v>40448</v>
      </c>
      <c r="J179" t="s">
        <v>499</v>
      </c>
      <c r="K179" t="s">
        <v>778</v>
      </c>
      <c r="M179" t="str">
        <f>VLOOKUP(A179,assignments!A:Y,3,FALSE)</f>
        <v>MOH</v>
      </c>
    </row>
    <row r="180" spans="1:13" hidden="1" x14ac:dyDescent="0.25">
      <c r="A180" t="s">
        <v>500</v>
      </c>
      <c r="B180" t="s">
        <v>78</v>
      </c>
      <c r="C180" t="s">
        <v>127</v>
      </c>
      <c r="D180">
        <v>2010</v>
      </c>
      <c r="E180" t="s">
        <v>775</v>
      </c>
      <c r="F180" t="s">
        <v>180</v>
      </c>
      <c r="G180" s="1">
        <v>40450</v>
      </c>
      <c r="I180">
        <v>725</v>
      </c>
      <c r="J180" t="s">
        <v>501</v>
      </c>
      <c r="K180" t="s">
        <v>778</v>
      </c>
      <c r="M180" t="str">
        <f>VLOOKUP(A180,assignments!A:Y,3,FALSE)</f>
        <v>FRH</v>
      </c>
    </row>
    <row r="181" spans="1:13" x14ac:dyDescent="0.25">
      <c r="A181" t="s">
        <v>510</v>
      </c>
      <c r="B181" t="s">
        <v>78</v>
      </c>
      <c r="C181" t="s">
        <v>127</v>
      </c>
      <c r="D181">
        <v>2010</v>
      </c>
      <c r="E181" t="s">
        <v>775</v>
      </c>
      <c r="F181" t="s">
        <v>180</v>
      </c>
      <c r="G181" s="1">
        <v>40457</v>
      </c>
      <c r="I181">
        <v>760</v>
      </c>
      <c r="J181" t="s">
        <v>511</v>
      </c>
      <c r="M181" t="str">
        <f>VLOOKUP(A181,assignments!A:Y,3,FALSE)</f>
        <v>BAT</v>
      </c>
    </row>
    <row r="182" spans="1:13" x14ac:dyDescent="0.25">
      <c r="A182" t="s">
        <v>512</v>
      </c>
      <c r="B182" t="s">
        <v>78</v>
      </c>
      <c r="C182" t="s">
        <v>127</v>
      </c>
      <c r="D182">
        <v>2010</v>
      </c>
      <c r="E182" t="s">
        <v>775</v>
      </c>
      <c r="F182" t="s">
        <v>180</v>
      </c>
      <c r="G182" s="1">
        <v>40471</v>
      </c>
      <c r="J182" t="s">
        <v>513</v>
      </c>
      <c r="M182" t="str">
        <f>VLOOKUP(A182,assignments!A:Y,3,FALSE)</f>
        <v>MIL</v>
      </c>
    </row>
    <row r="183" spans="1:13" x14ac:dyDescent="0.25">
      <c r="A183" t="s">
        <v>514</v>
      </c>
      <c r="B183" t="s">
        <v>78</v>
      </c>
      <c r="C183" t="s">
        <v>127</v>
      </c>
      <c r="D183">
        <v>2010</v>
      </c>
      <c r="E183" t="s">
        <v>775</v>
      </c>
      <c r="F183" t="s">
        <v>180</v>
      </c>
      <c r="G183" s="1">
        <v>40450</v>
      </c>
      <c r="J183" t="s">
        <v>515</v>
      </c>
      <c r="M183" t="str">
        <f>VLOOKUP(A183,assignments!A:Y,3,FALSE)</f>
        <v>Unknown</v>
      </c>
    </row>
    <row r="184" spans="1:13" hidden="1" x14ac:dyDescent="0.25">
      <c r="A184" t="s">
        <v>526</v>
      </c>
      <c r="B184" t="s">
        <v>78</v>
      </c>
      <c r="C184" t="s">
        <v>127</v>
      </c>
      <c r="D184">
        <v>2010</v>
      </c>
      <c r="E184" t="s">
        <v>775</v>
      </c>
      <c r="F184" t="s">
        <v>180</v>
      </c>
      <c r="G184" s="1">
        <v>40456</v>
      </c>
      <c r="I184">
        <v>770</v>
      </c>
      <c r="J184" t="s">
        <v>527</v>
      </c>
      <c r="K184" t="s">
        <v>778</v>
      </c>
      <c r="M184" t="str">
        <f>VLOOKUP(A184,assignments!A:Y,3,FALSE)</f>
        <v>FEA</v>
      </c>
    </row>
    <row r="185" spans="1:13" x14ac:dyDescent="0.25">
      <c r="A185" t="s">
        <v>528</v>
      </c>
      <c r="B185" t="s">
        <v>78</v>
      </c>
      <c r="C185" t="s">
        <v>127</v>
      </c>
      <c r="D185">
        <v>2010</v>
      </c>
      <c r="E185" t="s">
        <v>775</v>
      </c>
      <c r="F185" t="s">
        <v>180</v>
      </c>
      <c r="G185" s="1">
        <v>40471</v>
      </c>
      <c r="I185">
        <v>820</v>
      </c>
      <c r="J185" t="s">
        <v>529</v>
      </c>
      <c r="M185" t="e">
        <f>VLOOKUP(A185,assignments!A:Y,3,FALSE)</f>
        <v>#N/A</v>
      </c>
    </row>
    <row r="186" spans="1:13" x14ac:dyDescent="0.25">
      <c r="A186" t="s">
        <v>530</v>
      </c>
      <c r="B186" t="s">
        <v>78</v>
      </c>
      <c r="C186" t="s">
        <v>127</v>
      </c>
      <c r="D186">
        <v>2010</v>
      </c>
      <c r="E186" t="s">
        <v>775</v>
      </c>
      <c r="F186" t="s">
        <v>180</v>
      </c>
      <c r="G186" s="1">
        <v>40478</v>
      </c>
      <c r="J186" t="s">
        <v>531</v>
      </c>
      <c r="M186" t="str">
        <f>VLOOKUP(A186,assignments!A:Y,3,FALSE)</f>
        <v>CNH</v>
      </c>
    </row>
    <row r="187" spans="1:13" hidden="1" x14ac:dyDescent="0.25">
      <c r="A187" t="s">
        <v>728</v>
      </c>
      <c r="B187" t="s">
        <v>78</v>
      </c>
      <c r="C187" t="s">
        <v>127</v>
      </c>
      <c r="D187">
        <v>2010</v>
      </c>
      <c r="E187" t="s">
        <v>775</v>
      </c>
      <c r="F187" t="s">
        <v>180</v>
      </c>
      <c r="G187" s="1">
        <v>40456</v>
      </c>
      <c r="I187">
        <v>770</v>
      </c>
      <c r="J187" t="s">
        <v>729</v>
      </c>
      <c r="K187" t="s">
        <v>778</v>
      </c>
      <c r="M187" t="str">
        <f>VLOOKUP(A187,assignments!A:Y,3,FALSE)</f>
        <v>MOH</v>
      </c>
    </row>
    <row r="188" spans="1:13" x14ac:dyDescent="0.25">
      <c r="A188" t="s">
        <v>730</v>
      </c>
      <c r="B188" t="s">
        <v>78</v>
      </c>
      <c r="C188" t="s">
        <v>127</v>
      </c>
      <c r="D188">
        <v>2010</v>
      </c>
      <c r="E188" t="s">
        <v>775</v>
      </c>
      <c r="F188" t="s">
        <v>180</v>
      </c>
      <c r="G188" s="1">
        <v>40471</v>
      </c>
      <c r="I188">
        <v>690</v>
      </c>
      <c r="J188" t="s">
        <v>731</v>
      </c>
      <c r="M188" t="str">
        <f>VLOOKUP(A188,assignments!A:Y,3,FALSE)</f>
        <v>BAT</v>
      </c>
    </row>
    <row r="189" spans="1:13" x14ac:dyDescent="0.25">
      <c r="A189" t="s">
        <v>732</v>
      </c>
      <c r="B189" t="s">
        <v>78</v>
      </c>
      <c r="C189" t="s">
        <v>127</v>
      </c>
      <c r="D189">
        <v>2010</v>
      </c>
      <c r="E189" t="s">
        <v>775</v>
      </c>
      <c r="F189" t="s">
        <v>180</v>
      </c>
      <c r="G189" s="1">
        <v>40478</v>
      </c>
      <c r="I189">
        <v>820</v>
      </c>
      <c r="J189" t="s">
        <v>733</v>
      </c>
      <c r="M189" t="str">
        <f>VLOOKUP(A189,assignments!A:Y,3,FALSE)</f>
        <v>MIL</v>
      </c>
    </row>
    <row r="190" spans="1:13" hidden="1" x14ac:dyDescent="0.25">
      <c r="A190" t="s">
        <v>742</v>
      </c>
      <c r="B190" t="s">
        <v>78</v>
      </c>
      <c r="C190" t="s">
        <v>127</v>
      </c>
      <c r="D190">
        <v>2010</v>
      </c>
      <c r="E190" t="s">
        <v>775</v>
      </c>
      <c r="F190" t="s">
        <v>180</v>
      </c>
      <c r="G190" s="1">
        <v>40444</v>
      </c>
      <c r="I190">
        <v>800</v>
      </c>
      <c r="J190" t="s">
        <v>743</v>
      </c>
      <c r="K190" t="s">
        <v>778</v>
      </c>
      <c r="M190" t="str">
        <f>VLOOKUP(A190,assignments!A:Y,3,FALSE)</f>
        <v>MOH</v>
      </c>
    </row>
    <row r="191" spans="1:13" hidden="1" x14ac:dyDescent="0.25">
      <c r="A191" t="s">
        <v>744</v>
      </c>
      <c r="B191" t="s">
        <v>78</v>
      </c>
      <c r="C191" t="s">
        <v>127</v>
      </c>
      <c r="D191">
        <v>2010</v>
      </c>
      <c r="E191" t="s">
        <v>775</v>
      </c>
      <c r="F191" t="s">
        <v>180</v>
      </c>
      <c r="G191" s="1">
        <v>40465</v>
      </c>
      <c r="I191">
        <v>725</v>
      </c>
      <c r="J191" t="s">
        <v>745</v>
      </c>
      <c r="K191" t="s">
        <v>778</v>
      </c>
      <c r="M191" t="str">
        <f>VLOOKUP(A191,assignments!A:Y,3,FALSE)</f>
        <v>FRH</v>
      </c>
    </row>
    <row r="192" spans="1:13" x14ac:dyDescent="0.25">
      <c r="A192" t="s">
        <v>746</v>
      </c>
      <c r="B192" t="s">
        <v>78</v>
      </c>
      <c r="C192" t="s">
        <v>127</v>
      </c>
      <c r="D192">
        <v>2010</v>
      </c>
      <c r="E192" t="s">
        <v>775</v>
      </c>
      <c r="F192" t="s">
        <v>180</v>
      </c>
      <c r="G192" s="1">
        <v>40465</v>
      </c>
      <c r="I192">
        <v>940</v>
      </c>
      <c r="J192" t="s">
        <v>747</v>
      </c>
      <c r="M192" t="str">
        <f>VLOOKUP(A192,assignments!A:Y,3,FALSE)</f>
        <v>BAT</v>
      </c>
    </row>
    <row r="193" spans="1:13" hidden="1" x14ac:dyDescent="0.25">
      <c r="A193" t="s">
        <v>760</v>
      </c>
      <c r="B193" t="s">
        <v>78</v>
      </c>
      <c r="C193" t="s">
        <v>127</v>
      </c>
      <c r="D193">
        <v>2010</v>
      </c>
      <c r="E193" t="s">
        <v>775</v>
      </c>
      <c r="F193" t="s">
        <v>180</v>
      </c>
      <c r="G193" s="1">
        <v>40458</v>
      </c>
      <c r="I193">
        <v>830</v>
      </c>
      <c r="J193" t="s">
        <v>761</v>
      </c>
      <c r="K193" t="s">
        <v>778</v>
      </c>
      <c r="M193" t="str">
        <f>VLOOKUP(A193,assignments!A:Y,3,FALSE)</f>
        <v>FRH</v>
      </c>
    </row>
    <row r="194" spans="1:13" x14ac:dyDescent="0.25">
      <c r="A194" t="s">
        <v>762</v>
      </c>
      <c r="B194" t="s">
        <v>78</v>
      </c>
      <c r="C194" t="s">
        <v>127</v>
      </c>
      <c r="D194">
        <v>2010</v>
      </c>
      <c r="E194" t="s">
        <v>775</v>
      </c>
      <c r="F194" t="s">
        <v>180</v>
      </c>
      <c r="G194" s="1">
        <v>40465</v>
      </c>
      <c r="J194" t="s">
        <v>763</v>
      </c>
      <c r="M194" t="str">
        <f>VLOOKUP(A194,assignments!A:Y,3,FALSE)</f>
        <v>BAT</v>
      </c>
    </row>
    <row r="195" spans="1:13" hidden="1" x14ac:dyDescent="0.25">
      <c r="A195" t="s">
        <v>768</v>
      </c>
      <c r="B195" t="s">
        <v>78</v>
      </c>
      <c r="C195" t="s">
        <v>127</v>
      </c>
      <c r="D195">
        <v>2010</v>
      </c>
      <c r="E195" t="s">
        <v>775</v>
      </c>
      <c r="F195" t="s">
        <v>180</v>
      </c>
      <c r="G195" s="1">
        <v>40458</v>
      </c>
      <c r="I195">
        <v>660</v>
      </c>
      <c r="J195" t="s">
        <v>769</v>
      </c>
      <c r="K195" t="s">
        <v>778</v>
      </c>
      <c r="M195" t="str">
        <f>VLOOKUP(A195,assignments!A:Y,3,FALSE)</f>
        <v>THE</v>
      </c>
    </row>
    <row r="196" spans="1:13" x14ac:dyDescent="0.25">
      <c r="A196" t="s">
        <v>454</v>
      </c>
      <c r="B196" t="s">
        <v>78</v>
      </c>
      <c r="C196" t="s">
        <v>127</v>
      </c>
      <c r="D196">
        <v>2011</v>
      </c>
      <c r="E196" t="s">
        <v>775</v>
      </c>
      <c r="F196" t="s">
        <v>180</v>
      </c>
      <c r="G196" s="1">
        <v>40830</v>
      </c>
      <c r="I196">
        <v>580</v>
      </c>
      <c r="J196" t="s">
        <v>455</v>
      </c>
      <c r="M196" t="str">
        <f>VLOOKUP(A196,assignments!A:Y,3,FALSE)</f>
        <v>CNH</v>
      </c>
    </row>
    <row r="197" spans="1:13" x14ac:dyDescent="0.25">
      <c r="A197" t="s">
        <v>466</v>
      </c>
      <c r="B197" t="s">
        <v>78</v>
      </c>
      <c r="C197" t="s">
        <v>127</v>
      </c>
      <c r="D197">
        <v>2011</v>
      </c>
      <c r="E197" t="s">
        <v>775</v>
      </c>
      <c r="F197" t="s">
        <v>180</v>
      </c>
      <c r="G197" s="1">
        <v>40829</v>
      </c>
      <c r="J197" t="s">
        <v>467</v>
      </c>
      <c r="M197" t="str">
        <f>VLOOKUP(A197,assignments!A:Y,3,FALSE)</f>
        <v>BAT</v>
      </c>
    </row>
    <row r="198" spans="1:13" x14ac:dyDescent="0.25">
      <c r="A198" t="s">
        <v>478</v>
      </c>
      <c r="B198" t="s">
        <v>78</v>
      </c>
      <c r="C198" t="s">
        <v>127</v>
      </c>
      <c r="D198">
        <v>2011</v>
      </c>
      <c r="E198" t="s">
        <v>775</v>
      </c>
      <c r="F198" t="s">
        <v>180</v>
      </c>
      <c r="G198" s="1">
        <v>40828</v>
      </c>
      <c r="J198" t="s">
        <v>479</v>
      </c>
      <c r="M198" t="str">
        <f>VLOOKUP(A198,assignments!A:Y,3,FALSE)</f>
        <v>CNH</v>
      </c>
    </row>
    <row r="199" spans="1:13" x14ac:dyDescent="0.25">
      <c r="A199" t="s">
        <v>490</v>
      </c>
      <c r="B199" t="s">
        <v>78</v>
      </c>
      <c r="C199" t="s">
        <v>127</v>
      </c>
      <c r="D199">
        <v>2011</v>
      </c>
      <c r="E199" t="s">
        <v>775</v>
      </c>
      <c r="F199" t="s">
        <v>180</v>
      </c>
      <c r="G199" s="1">
        <v>40828</v>
      </c>
      <c r="I199">
        <v>735</v>
      </c>
      <c r="J199" t="s">
        <v>491</v>
      </c>
      <c r="M199" t="str">
        <f>VLOOKUP(A199,assignments!A:Y,3,FALSE)</f>
        <v>BAT</v>
      </c>
    </row>
    <row r="200" spans="1:13" x14ac:dyDescent="0.25">
      <c r="A200" t="s">
        <v>502</v>
      </c>
      <c r="B200" t="s">
        <v>78</v>
      </c>
      <c r="C200" t="s">
        <v>127</v>
      </c>
      <c r="D200">
        <v>2011</v>
      </c>
      <c r="E200" t="s">
        <v>775</v>
      </c>
      <c r="F200" t="s">
        <v>180</v>
      </c>
      <c r="G200" s="1">
        <v>40828</v>
      </c>
      <c r="J200" t="s">
        <v>503</v>
      </c>
      <c r="M200" t="str">
        <f>VLOOKUP(A200,assignments!A:Y,3,FALSE)</f>
        <v>BAT</v>
      </c>
    </row>
    <row r="201" spans="1:13" x14ac:dyDescent="0.25">
      <c r="A201" t="s">
        <v>516</v>
      </c>
      <c r="B201" t="s">
        <v>78</v>
      </c>
      <c r="C201" t="s">
        <v>127</v>
      </c>
      <c r="D201">
        <v>2011</v>
      </c>
      <c r="E201" t="s">
        <v>775</v>
      </c>
      <c r="F201" t="s">
        <v>180</v>
      </c>
      <c r="G201" s="1">
        <v>40828</v>
      </c>
      <c r="I201">
        <v>720</v>
      </c>
      <c r="J201" t="s">
        <v>517</v>
      </c>
      <c r="M201" t="str">
        <f>VLOOKUP(A201,assignments!A:Y,3,FALSE)</f>
        <v>BAT</v>
      </c>
    </row>
    <row r="202" spans="1:13" hidden="1" x14ac:dyDescent="0.25">
      <c r="A202" t="s">
        <v>718</v>
      </c>
      <c r="B202" t="s">
        <v>78</v>
      </c>
      <c r="C202" t="s">
        <v>127</v>
      </c>
      <c r="D202">
        <v>2011</v>
      </c>
      <c r="E202" t="s">
        <v>775</v>
      </c>
      <c r="F202" t="s">
        <v>180</v>
      </c>
      <c r="G202" s="1">
        <v>40829</v>
      </c>
      <c r="I202">
        <v>540</v>
      </c>
      <c r="J202" t="s">
        <v>719</v>
      </c>
      <c r="K202" t="s">
        <v>778</v>
      </c>
      <c r="M202" t="str">
        <f>VLOOKUP(A202,assignments!A:Y,3,FALSE)</f>
        <v>FEA</v>
      </c>
    </row>
    <row r="203" spans="1:13" x14ac:dyDescent="0.25">
      <c r="A203" t="s">
        <v>748</v>
      </c>
      <c r="B203" t="s">
        <v>78</v>
      </c>
      <c r="C203" t="s">
        <v>127</v>
      </c>
      <c r="D203">
        <v>2011</v>
      </c>
      <c r="E203" t="s">
        <v>775</v>
      </c>
      <c r="F203" t="s">
        <v>180</v>
      </c>
      <c r="G203" s="1">
        <v>40828</v>
      </c>
      <c r="I203">
        <v>730</v>
      </c>
      <c r="J203" t="s">
        <v>749</v>
      </c>
      <c r="M203" t="str">
        <f>VLOOKUP(A203,assignments!A:Y,3,FALSE)</f>
        <v>BAT</v>
      </c>
    </row>
    <row r="204" spans="1:13" hidden="1" x14ac:dyDescent="0.25">
      <c r="A204" t="s">
        <v>750</v>
      </c>
      <c r="B204" t="s">
        <v>78</v>
      </c>
      <c r="C204" t="s">
        <v>127</v>
      </c>
      <c r="D204">
        <v>2011</v>
      </c>
      <c r="E204" t="s">
        <v>775</v>
      </c>
      <c r="F204" t="s">
        <v>180</v>
      </c>
      <c r="G204" s="1">
        <v>40851</v>
      </c>
      <c r="I204">
        <v>815</v>
      </c>
      <c r="J204" t="s">
        <v>751</v>
      </c>
      <c r="K204" t="s">
        <v>778</v>
      </c>
      <c r="M204" t="str">
        <f>VLOOKUP(A204,assignments!A:Y,3,FALSE)</f>
        <v>THE</v>
      </c>
    </row>
    <row r="205" spans="1:13" hidden="1" x14ac:dyDescent="0.25">
      <c r="A205" t="s">
        <v>764</v>
      </c>
      <c r="B205" t="s">
        <v>78</v>
      </c>
      <c r="C205" t="s">
        <v>127</v>
      </c>
      <c r="D205">
        <v>2011</v>
      </c>
      <c r="E205" t="s">
        <v>775</v>
      </c>
      <c r="F205" t="s">
        <v>180</v>
      </c>
      <c r="G205" s="1">
        <v>40841</v>
      </c>
      <c r="I205">
        <v>880</v>
      </c>
      <c r="J205" t="s">
        <v>765</v>
      </c>
      <c r="K205" t="s">
        <v>778</v>
      </c>
      <c r="M205" t="str">
        <f>VLOOKUP(A205,assignments!A:Y,3,FALSE)</f>
        <v>STA</v>
      </c>
    </row>
    <row r="206" spans="1:13" x14ac:dyDescent="0.25">
      <c r="A206" t="s">
        <v>766</v>
      </c>
      <c r="B206" t="s">
        <v>78</v>
      </c>
      <c r="C206" t="s">
        <v>127</v>
      </c>
      <c r="D206">
        <v>2011</v>
      </c>
      <c r="E206" t="s">
        <v>775</v>
      </c>
      <c r="F206" t="s">
        <v>180</v>
      </c>
      <c r="G206" s="1">
        <v>40829</v>
      </c>
      <c r="I206">
        <v>765</v>
      </c>
      <c r="J206" t="s">
        <v>767</v>
      </c>
      <c r="M206" t="str">
        <f>VLOOKUP(A206,assignments!A:Y,3,FALSE)</f>
        <v>MIL</v>
      </c>
    </row>
    <row r="207" spans="1:13" x14ac:dyDescent="0.25">
      <c r="A207" t="s">
        <v>188</v>
      </c>
      <c r="B207" t="s">
        <v>78</v>
      </c>
      <c r="C207" t="s">
        <v>127</v>
      </c>
      <c r="D207">
        <v>2012</v>
      </c>
      <c r="E207" t="s">
        <v>775</v>
      </c>
      <c r="F207" t="s">
        <v>180</v>
      </c>
      <c r="G207" s="1">
        <v>41191</v>
      </c>
      <c r="I207">
        <v>725</v>
      </c>
      <c r="J207" t="s">
        <v>189</v>
      </c>
      <c r="M207" t="str">
        <f>VLOOKUP(A207,assignments!A:Y,3,FALSE)</f>
        <v>DEE</v>
      </c>
    </row>
    <row r="208" spans="1:13" hidden="1" x14ac:dyDescent="0.25">
      <c r="A208" t="s">
        <v>190</v>
      </c>
      <c r="B208" t="s">
        <v>78</v>
      </c>
      <c r="C208" t="s">
        <v>127</v>
      </c>
      <c r="D208">
        <v>2012</v>
      </c>
      <c r="E208" t="s">
        <v>775</v>
      </c>
      <c r="F208" t="s">
        <v>180</v>
      </c>
      <c r="G208" s="1">
        <v>41191</v>
      </c>
      <c r="I208">
        <v>697</v>
      </c>
      <c r="J208" t="s">
        <v>191</v>
      </c>
      <c r="K208" t="s">
        <v>778</v>
      </c>
      <c r="M208" t="str">
        <f>VLOOKUP(A208,assignments!A:Y,3,FALSE)</f>
        <v>FEA</v>
      </c>
    </row>
    <row r="209" spans="1:13" x14ac:dyDescent="0.25">
      <c r="A209" t="s">
        <v>192</v>
      </c>
      <c r="B209" t="s">
        <v>78</v>
      </c>
      <c r="C209" t="s">
        <v>127</v>
      </c>
      <c r="D209">
        <v>2012</v>
      </c>
      <c r="E209" t="s">
        <v>775</v>
      </c>
      <c r="F209" t="s">
        <v>180</v>
      </c>
      <c r="G209" s="1">
        <v>41191</v>
      </c>
      <c r="I209">
        <v>620</v>
      </c>
      <c r="J209" t="s">
        <v>193</v>
      </c>
      <c r="M209" t="str">
        <f>VLOOKUP(A209,assignments!A:Y,3,FALSE)</f>
        <v>DEE</v>
      </c>
    </row>
    <row r="210" spans="1:13" hidden="1" x14ac:dyDescent="0.25">
      <c r="A210" t="s">
        <v>194</v>
      </c>
      <c r="B210" t="s">
        <v>78</v>
      </c>
      <c r="C210" t="s">
        <v>127</v>
      </c>
      <c r="D210">
        <v>2012</v>
      </c>
      <c r="E210" t="s">
        <v>775</v>
      </c>
      <c r="F210" t="s">
        <v>180</v>
      </c>
      <c r="G210" s="1">
        <v>41191</v>
      </c>
      <c r="I210">
        <v>638</v>
      </c>
      <c r="J210" t="s">
        <v>195</v>
      </c>
      <c r="K210" t="s">
        <v>778</v>
      </c>
      <c r="M210" t="str">
        <f>VLOOKUP(A210,assignments!A:Y,3,FALSE)</f>
        <v>THE</v>
      </c>
    </row>
    <row r="211" spans="1:13" hidden="1" x14ac:dyDescent="0.25">
      <c r="A211" t="s">
        <v>196</v>
      </c>
      <c r="B211" t="s">
        <v>78</v>
      </c>
      <c r="C211" t="s">
        <v>127</v>
      </c>
      <c r="D211">
        <v>2012</v>
      </c>
      <c r="E211" t="s">
        <v>775</v>
      </c>
      <c r="F211" t="s">
        <v>180</v>
      </c>
      <c r="G211" s="1">
        <v>41191</v>
      </c>
      <c r="J211" t="s">
        <v>197</v>
      </c>
      <c r="K211" t="s">
        <v>778</v>
      </c>
      <c r="M211" t="str">
        <f>VLOOKUP(A211,assignments!A:Y,3,FALSE)</f>
        <v>FRH</v>
      </c>
    </row>
    <row r="212" spans="1:13" x14ac:dyDescent="0.25">
      <c r="A212" t="s">
        <v>198</v>
      </c>
      <c r="B212" t="s">
        <v>78</v>
      </c>
      <c r="C212" t="s">
        <v>127</v>
      </c>
      <c r="D212">
        <v>2012</v>
      </c>
      <c r="E212" t="s">
        <v>775</v>
      </c>
      <c r="F212" t="s">
        <v>180</v>
      </c>
      <c r="G212" s="1">
        <v>41191</v>
      </c>
      <c r="I212">
        <v>791</v>
      </c>
      <c r="J212" t="s">
        <v>199</v>
      </c>
      <c r="M212" t="str">
        <f>VLOOKUP(A212,assignments!A:Y,3,FALSE)</f>
        <v>MIL</v>
      </c>
    </row>
    <row r="213" spans="1:13" x14ac:dyDescent="0.25">
      <c r="A213" t="s">
        <v>200</v>
      </c>
      <c r="B213" t="s">
        <v>78</v>
      </c>
      <c r="C213" t="s">
        <v>127</v>
      </c>
      <c r="D213">
        <v>2012</v>
      </c>
      <c r="E213" t="s">
        <v>775</v>
      </c>
      <c r="F213" t="s">
        <v>180</v>
      </c>
      <c r="G213" s="1">
        <v>41183</v>
      </c>
      <c r="J213" t="s">
        <v>201</v>
      </c>
      <c r="M213" t="str">
        <f>VLOOKUP(A213,assignments!A:Y,3,FALSE)</f>
        <v>CNH</v>
      </c>
    </row>
    <row r="214" spans="1:13" hidden="1" x14ac:dyDescent="0.25">
      <c r="A214" t="s">
        <v>202</v>
      </c>
      <c r="B214" t="s">
        <v>78</v>
      </c>
      <c r="C214" t="s">
        <v>127</v>
      </c>
      <c r="D214">
        <v>2012</v>
      </c>
      <c r="E214" t="s">
        <v>775</v>
      </c>
      <c r="F214" t="s">
        <v>180</v>
      </c>
      <c r="G214" s="1">
        <v>41183</v>
      </c>
      <c r="I214">
        <v>710</v>
      </c>
      <c r="J214" t="s">
        <v>203</v>
      </c>
      <c r="K214" t="s">
        <v>778</v>
      </c>
      <c r="M214" t="str">
        <f>VLOOKUP(A214,assignments!A:Y,3,FALSE)</f>
        <v>FRH</v>
      </c>
    </row>
    <row r="215" spans="1:13" x14ac:dyDescent="0.25">
      <c r="A215" t="s">
        <v>204</v>
      </c>
      <c r="B215" t="s">
        <v>78</v>
      </c>
      <c r="C215" t="s">
        <v>127</v>
      </c>
      <c r="D215">
        <v>2012</v>
      </c>
      <c r="E215" t="s">
        <v>775</v>
      </c>
      <c r="F215" t="s">
        <v>180</v>
      </c>
      <c r="G215" s="1">
        <v>41192</v>
      </c>
      <c r="I215">
        <v>850</v>
      </c>
      <c r="J215" t="s">
        <v>205</v>
      </c>
      <c r="M215" t="str">
        <f>VLOOKUP(A215,assignments!A:Y,3,FALSE)</f>
        <v>CNH</v>
      </c>
    </row>
    <row r="216" spans="1:13" x14ac:dyDescent="0.25">
      <c r="A216" t="s">
        <v>206</v>
      </c>
      <c r="B216" t="s">
        <v>78</v>
      </c>
      <c r="C216" t="s">
        <v>127</v>
      </c>
      <c r="D216">
        <v>2012</v>
      </c>
      <c r="E216" t="s">
        <v>775</v>
      </c>
      <c r="F216" t="s">
        <v>180</v>
      </c>
      <c r="G216" s="1">
        <v>41192</v>
      </c>
      <c r="I216">
        <v>650</v>
      </c>
      <c r="J216" t="s">
        <v>207</v>
      </c>
      <c r="M216" t="str">
        <f>VLOOKUP(A216,assignments!A:Y,3,FALSE)</f>
        <v>MIL</v>
      </c>
    </row>
    <row r="217" spans="1:13" x14ac:dyDescent="0.25">
      <c r="A217" t="s">
        <v>208</v>
      </c>
      <c r="B217" t="s">
        <v>78</v>
      </c>
      <c r="C217" t="s">
        <v>127</v>
      </c>
      <c r="D217">
        <v>2012</v>
      </c>
      <c r="E217" t="s">
        <v>775</v>
      </c>
      <c r="F217" t="s">
        <v>180</v>
      </c>
      <c r="G217" s="1">
        <v>41192</v>
      </c>
      <c r="I217">
        <v>790</v>
      </c>
      <c r="J217" t="s">
        <v>209</v>
      </c>
      <c r="M217" t="str">
        <f>VLOOKUP(A217,assignments!A:Y,3,FALSE)</f>
        <v>BAT</v>
      </c>
    </row>
    <row r="218" spans="1:13" x14ac:dyDescent="0.25">
      <c r="A218" t="s">
        <v>210</v>
      </c>
      <c r="B218" t="s">
        <v>78</v>
      </c>
      <c r="C218" t="s">
        <v>127</v>
      </c>
      <c r="D218">
        <v>2012</v>
      </c>
      <c r="E218" t="s">
        <v>775</v>
      </c>
      <c r="F218" t="s">
        <v>180</v>
      </c>
      <c r="G218" s="1">
        <v>41192</v>
      </c>
      <c r="I218">
        <v>800</v>
      </c>
      <c r="J218" t="s">
        <v>211</v>
      </c>
      <c r="M218" t="str">
        <f>VLOOKUP(A218,assignments!A:Y,3,FALSE)</f>
        <v>BAT</v>
      </c>
    </row>
    <row r="219" spans="1:13" x14ac:dyDescent="0.25">
      <c r="A219" t="s">
        <v>212</v>
      </c>
      <c r="B219" t="s">
        <v>78</v>
      </c>
      <c r="C219" t="s">
        <v>127</v>
      </c>
      <c r="D219">
        <v>2012</v>
      </c>
      <c r="E219" t="s">
        <v>775</v>
      </c>
      <c r="F219" t="s">
        <v>180</v>
      </c>
      <c r="G219" s="1">
        <v>41192</v>
      </c>
      <c r="I219">
        <v>800</v>
      </c>
      <c r="J219" t="s">
        <v>213</v>
      </c>
      <c r="M219" t="str">
        <f>VLOOKUP(A219,assignments!A:Y,3,FALSE)</f>
        <v>MIL</v>
      </c>
    </row>
    <row r="220" spans="1:13" x14ac:dyDescent="0.25">
      <c r="A220" t="s">
        <v>214</v>
      </c>
      <c r="B220" t="s">
        <v>78</v>
      </c>
      <c r="C220" t="s">
        <v>127</v>
      </c>
      <c r="D220">
        <v>2012</v>
      </c>
      <c r="E220" t="s">
        <v>775</v>
      </c>
      <c r="F220" t="s">
        <v>180</v>
      </c>
      <c r="G220" s="1">
        <v>41205</v>
      </c>
      <c r="I220">
        <v>695</v>
      </c>
      <c r="J220" t="s">
        <v>215</v>
      </c>
      <c r="M220" t="str">
        <f>VLOOKUP(A220,assignments!A:Y,3,FALSE)</f>
        <v>BAT</v>
      </c>
    </row>
    <row r="221" spans="1:13" x14ac:dyDescent="0.25">
      <c r="A221" t="s">
        <v>216</v>
      </c>
      <c r="B221" t="s">
        <v>78</v>
      </c>
      <c r="C221" t="s">
        <v>127</v>
      </c>
      <c r="D221">
        <v>2012</v>
      </c>
      <c r="E221" t="s">
        <v>775</v>
      </c>
      <c r="F221" t="s">
        <v>180</v>
      </c>
      <c r="G221" s="1">
        <v>41191</v>
      </c>
      <c r="I221">
        <v>681</v>
      </c>
      <c r="J221" t="s">
        <v>217</v>
      </c>
      <c r="M221" t="str">
        <f>VLOOKUP(A221,assignments!A:Y,3,FALSE)</f>
        <v>BAT</v>
      </c>
    </row>
    <row r="222" spans="1:13" x14ac:dyDescent="0.25">
      <c r="A222" t="s">
        <v>218</v>
      </c>
      <c r="B222" t="s">
        <v>78</v>
      </c>
      <c r="C222" t="s">
        <v>127</v>
      </c>
      <c r="D222">
        <v>2012</v>
      </c>
      <c r="E222" t="s">
        <v>775</v>
      </c>
      <c r="F222" t="s">
        <v>180</v>
      </c>
      <c r="G222" s="1">
        <v>41191</v>
      </c>
      <c r="I222">
        <v>693</v>
      </c>
      <c r="J222" t="s">
        <v>219</v>
      </c>
      <c r="M222" t="str">
        <f>VLOOKUP(A222,assignments!A:Y,3,FALSE)</f>
        <v>SAC</v>
      </c>
    </row>
    <row r="223" spans="1:13" hidden="1" x14ac:dyDescent="0.25">
      <c r="A223" t="s">
        <v>220</v>
      </c>
      <c r="B223" t="s">
        <v>78</v>
      </c>
      <c r="C223" t="s">
        <v>127</v>
      </c>
      <c r="D223">
        <v>2012</v>
      </c>
      <c r="E223" t="s">
        <v>775</v>
      </c>
      <c r="F223" t="s">
        <v>180</v>
      </c>
      <c r="G223" s="1">
        <v>41191</v>
      </c>
      <c r="I223">
        <v>785</v>
      </c>
      <c r="J223" t="s">
        <v>221</v>
      </c>
      <c r="K223" t="s">
        <v>778</v>
      </c>
      <c r="M223" t="str">
        <f>VLOOKUP(A223,assignments!A:Y,3,FALSE)</f>
        <v>FRH</v>
      </c>
    </row>
    <row r="224" spans="1:13" x14ac:dyDescent="0.25">
      <c r="A224" t="s">
        <v>222</v>
      </c>
      <c r="B224" t="s">
        <v>78</v>
      </c>
      <c r="C224" t="s">
        <v>127</v>
      </c>
      <c r="D224">
        <v>2012</v>
      </c>
      <c r="E224" t="s">
        <v>775</v>
      </c>
      <c r="F224" t="s">
        <v>180</v>
      </c>
      <c r="G224" s="1">
        <v>41191</v>
      </c>
      <c r="I224">
        <v>720</v>
      </c>
      <c r="J224" t="s">
        <v>223</v>
      </c>
      <c r="M224" t="str">
        <f>VLOOKUP(A224,assignments!A:Y,3,FALSE)</f>
        <v>CNH</v>
      </c>
    </row>
    <row r="225" spans="1:13" hidden="1" x14ac:dyDescent="0.25">
      <c r="A225" t="s">
        <v>224</v>
      </c>
      <c r="B225" t="s">
        <v>78</v>
      </c>
      <c r="C225" t="s">
        <v>127</v>
      </c>
      <c r="D225">
        <v>2012</v>
      </c>
      <c r="E225" t="s">
        <v>775</v>
      </c>
      <c r="F225" t="s">
        <v>180</v>
      </c>
      <c r="G225" s="1">
        <v>41191</v>
      </c>
      <c r="J225" t="s">
        <v>225</v>
      </c>
      <c r="K225" t="s">
        <v>778</v>
      </c>
      <c r="M225" t="str">
        <f>VLOOKUP(A225,assignments!A:Y,3,FALSE)</f>
        <v>FRH</v>
      </c>
    </row>
    <row r="226" spans="1:13" x14ac:dyDescent="0.25">
      <c r="A226" t="s">
        <v>226</v>
      </c>
      <c r="B226" t="s">
        <v>78</v>
      </c>
      <c r="C226" t="s">
        <v>127</v>
      </c>
      <c r="D226">
        <v>2012</v>
      </c>
      <c r="E226" t="s">
        <v>775</v>
      </c>
      <c r="F226" t="s">
        <v>180</v>
      </c>
      <c r="G226" s="1">
        <v>41191</v>
      </c>
      <c r="I226">
        <v>740</v>
      </c>
      <c r="J226" t="s">
        <v>227</v>
      </c>
      <c r="M226" t="str">
        <f>VLOOKUP(A226,assignments!A:Y,3,FALSE)</f>
        <v>MIL</v>
      </c>
    </row>
    <row r="227" spans="1:13" hidden="1" x14ac:dyDescent="0.25">
      <c r="A227" t="s">
        <v>228</v>
      </c>
      <c r="B227" t="s">
        <v>78</v>
      </c>
      <c r="C227" t="s">
        <v>127</v>
      </c>
      <c r="D227">
        <v>2012</v>
      </c>
      <c r="E227" t="s">
        <v>775</v>
      </c>
      <c r="F227" t="s">
        <v>180</v>
      </c>
      <c r="G227" s="1">
        <v>41191</v>
      </c>
      <c r="I227">
        <v>660</v>
      </c>
      <c r="J227" t="s">
        <v>229</v>
      </c>
      <c r="K227" t="s">
        <v>778</v>
      </c>
      <c r="M227" t="str">
        <f>VLOOKUP(A227,assignments!A:Y,3,FALSE)</f>
        <v>FRH</v>
      </c>
    </row>
    <row r="228" spans="1:13" hidden="1" x14ac:dyDescent="0.25">
      <c r="A228" t="s">
        <v>230</v>
      </c>
      <c r="B228" t="s">
        <v>78</v>
      </c>
      <c r="C228" t="s">
        <v>127</v>
      </c>
      <c r="D228">
        <v>2012</v>
      </c>
      <c r="E228" t="s">
        <v>775</v>
      </c>
      <c r="F228" t="s">
        <v>180</v>
      </c>
      <c r="G228" s="1">
        <v>41191</v>
      </c>
      <c r="J228" t="s">
        <v>231</v>
      </c>
      <c r="K228" t="s">
        <v>778</v>
      </c>
      <c r="M228" t="str">
        <f>VLOOKUP(A228,assignments!A:Y,3,FALSE)</f>
        <v>MOK</v>
      </c>
    </row>
    <row r="229" spans="1:13" x14ac:dyDescent="0.25">
      <c r="A229" t="s">
        <v>232</v>
      </c>
      <c r="B229" t="s">
        <v>78</v>
      </c>
      <c r="C229" t="s">
        <v>127</v>
      </c>
      <c r="D229">
        <v>2012</v>
      </c>
      <c r="E229" t="s">
        <v>775</v>
      </c>
      <c r="F229" t="s">
        <v>180</v>
      </c>
      <c r="G229" s="1">
        <v>41191</v>
      </c>
      <c r="I229">
        <v>750</v>
      </c>
      <c r="J229" t="s">
        <v>233</v>
      </c>
      <c r="M229" t="str">
        <f>VLOOKUP(A229,assignments!A:Y,3,FALSE)</f>
        <v>BAT</v>
      </c>
    </row>
    <row r="230" spans="1:13" x14ac:dyDescent="0.25">
      <c r="A230" t="s">
        <v>234</v>
      </c>
      <c r="B230" t="s">
        <v>78</v>
      </c>
      <c r="C230" t="s">
        <v>127</v>
      </c>
      <c r="D230">
        <v>2012</v>
      </c>
      <c r="E230" t="s">
        <v>775</v>
      </c>
      <c r="F230" t="s">
        <v>180</v>
      </c>
      <c r="G230" s="1">
        <v>41191</v>
      </c>
      <c r="I230">
        <v>762</v>
      </c>
      <c r="J230" t="s">
        <v>235</v>
      </c>
      <c r="M230" t="str">
        <f>VLOOKUP(A230,assignments!A:Y,3,FALSE)</f>
        <v>CNH</v>
      </c>
    </row>
    <row r="231" spans="1:13" x14ac:dyDescent="0.25">
      <c r="A231" t="s">
        <v>236</v>
      </c>
      <c r="B231" t="s">
        <v>78</v>
      </c>
      <c r="C231" t="s">
        <v>127</v>
      </c>
      <c r="D231">
        <v>2012</v>
      </c>
      <c r="E231" t="s">
        <v>775</v>
      </c>
      <c r="F231" t="s">
        <v>180</v>
      </c>
      <c r="G231" s="1">
        <v>41176</v>
      </c>
      <c r="I231">
        <v>780</v>
      </c>
      <c r="J231" t="s">
        <v>237</v>
      </c>
      <c r="M231" t="str">
        <f>VLOOKUP(A231,assignments!A:Y,3,FALSE)</f>
        <v>BAT</v>
      </c>
    </row>
    <row r="232" spans="1:13" x14ac:dyDescent="0.25">
      <c r="A232" t="s">
        <v>238</v>
      </c>
      <c r="B232" t="s">
        <v>78</v>
      </c>
      <c r="C232" t="s">
        <v>127</v>
      </c>
      <c r="D232">
        <v>2012</v>
      </c>
      <c r="E232" t="s">
        <v>775</v>
      </c>
      <c r="F232" t="s">
        <v>180</v>
      </c>
      <c r="G232" s="1">
        <v>41191</v>
      </c>
      <c r="I232">
        <v>680</v>
      </c>
      <c r="J232" t="s">
        <v>239</v>
      </c>
      <c r="M232" t="str">
        <f>VLOOKUP(A232,assignments!A:Y,3,FALSE)</f>
        <v>Unknown</v>
      </c>
    </row>
    <row r="233" spans="1:13" x14ac:dyDescent="0.25">
      <c r="A233" t="s">
        <v>240</v>
      </c>
      <c r="B233" t="s">
        <v>78</v>
      </c>
      <c r="C233" t="s">
        <v>127</v>
      </c>
      <c r="D233">
        <v>2012</v>
      </c>
      <c r="E233" t="s">
        <v>775</v>
      </c>
      <c r="F233" t="s">
        <v>180</v>
      </c>
      <c r="G233" s="1">
        <v>41191</v>
      </c>
      <c r="I233">
        <v>750</v>
      </c>
      <c r="J233" t="s">
        <v>241</v>
      </c>
      <c r="M233" t="str">
        <f>VLOOKUP(A233,assignments!A:Y,3,FALSE)</f>
        <v>MIL</v>
      </c>
    </row>
    <row r="234" spans="1:13" x14ac:dyDescent="0.25">
      <c r="A234" t="s">
        <v>242</v>
      </c>
      <c r="B234" t="s">
        <v>78</v>
      </c>
      <c r="C234" t="s">
        <v>127</v>
      </c>
      <c r="D234">
        <v>2012</v>
      </c>
      <c r="E234" t="s">
        <v>775</v>
      </c>
      <c r="F234" t="s">
        <v>180</v>
      </c>
      <c r="G234" s="1">
        <v>41191</v>
      </c>
      <c r="I234">
        <v>735</v>
      </c>
      <c r="J234" t="s">
        <v>243</v>
      </c>
      <c r="M234" t="str">
        <f>VLOOKUP(A234,assignments!A:Y,3,FALSE)</f>
        <v>MIL</v>
      </c>
    </row>
    <row r="235" spans="1:13" x14ac:dyDescent="0.25">
      <c r="A235" t="s">
        <v>244</v>
      </c>
      <c r="B235" t="s">
        <v>78</v>
      </c>
      <c r="C235" t="s">
        <v>127</v>
      </c>
      <c r="D235">
        <v>2012</v>
      </c>
      <c r="E235" t="s">
        <v>775</v>
      </c>
      <c r="F235" t="s">
        <v>180</v>
      </c>
      <c r="G235" s="1">
        <v>41193</v>
      </c>
      <c r="I235">
        <v>720</v>
      </c>
      <c r="J235" t="s">
        <v>245</v>
      </c>
      <c r="M235" t="str">
        <f>VLOOKUP(A235,assignments!A:Y,3,FALSE)</f>
        <v>BAT</v>
      </c>
    </row>
    <row r="236" spans="1:13" hidden="1" x14ac:dyDescent="0.25">
      <c r="A236" t="s">
        <v>246</v>
      </c>
      <c r="B236" t="s">
        <v>78</v>
      </c>
      <c r="C236" t="s">
        <v>127</v>
      </c>
      <c r="D236">
        <v>2012</v>
      </c>
      <c r="E236" t="s">
        <v>775</v>
      </c>
      <c r="F236" t="s">
        <v>180</v>
      </c>
      <c r="G236" s="1">
        <v>41193</v>
      </c>
      <c r="J236" t="s">
        <v>247</v>
      </c>
      <c r="K236" t="s">
        <v>778</v>
      </c>
      <c r="M236" t="str">
        <f>VLOOKUP(A236,assignments!A:Y,3,FALSE)</f>
        <v>FRH</v>
      </c>
    </row>
    <row r="237" spans="1:13" x14ac:dyDescent="0.25">
      <c r="A237" t="s">
        <v>248</v>
      </c>
      <c r="B237" t="s">
        <v>78</v>
      </c>
      <c r="C237" t="s">
        <v>127</v>
      </c>
      <c r="D237">
        <v>2012</v>
      </c>
      <c r="E237" t="s">
        <v>775</v>
      </c>
      <c r="F237" t="s">
        <v>180</v>
      </c>
      <c r="G237" s="1">
        <v>41193</v>
      </c>
      <c r="I237">
        <v>675</v>
      </c>
      <c r="J237" t="s">
        <v>249</v>
      </c>
      <c r="M237" t="str">
        <f>VLOOKUP(A237,assignments!A:Y,3,FALSE)</f>
        <v>BAT</v>
      </c>
    </row>
    <row r="238" spans="1:13" x14ac:dyDescent="0.25">
      <c r="A238" t="s">
        <v>250</v>
      </c>
      <c r="B238" t="s">
        <v>78</v>
      </c>
      <c r="C238" t="s">
        <v>127</v>
      </c>
      <c r="D238">
        <v>2012</v>
      </c>
      <c r="E238" t="s">
        <v>775</v>
      </c>
      <c r="F238" t="s">
        <v>180</v>
      </c>
      <c r="G238" s="1">
        <v>41193</v>
      </c>
      <c r="I238">
        <v>815</v>
      </c>
      <c r="J238" t="s">
        <v>251</v>
      </c>
      <c r="M238" t="str">
        <f>VLOOKUP(A238,assignments!A:Y,3,FALSE)</f>
        <v>SAC</v>
      </c>
    </row>
    <row r="239" spans="1:13" hidden="1" x14ac:dyDescent="0.25">
      <c r="A239" t="s">
        <v>252</v>
      </c>
      <c r="B239" t="s">
        <v>78</v>
      </c>
      <c r="C239" t="s">
        <v>127</v>
      </c>
      <c r="D239">
        <v>2012</v>
      </c>
      <c r="E239" t="s">
        <v>775</v>
      </c>
      <c r="F239" t="s">
        <v>180</v>
      </c>
      <c r="G239" s="1">
        <v>41193</v>
      </c>
      <c r="J239" t="s">
        <v>253</v>
      </c>
      <c r="K239" t="s">
        <v>778</v>
      </c>
      <c r="M239" t="str">
        <f>VLOOKUP(A239,assignments!A:Y,3,FALSE)</f>
        <v>FRH</v>
      </c>
    </row>
    <row r="240" spans="1:13" x14ac:dyDescent="0.25">
      <c r="A240" t="s">
        <v>254</v>
      </c>
      <c r="B240" t="s">
        <v>78</v>
      </c>
      <c r="C240" t="s">
        <v>127</v>
      </c>
      <c r="D240">
        <v>2012</v>
      </c>
      <c r="E240" t="s">
        <v>775</v>
      </c>
      <c r="F240" t="s">
        <v>180</v>
      </c>
      <c r="G240" s="1">
        <v>41205</v>
      </c>
      <c r="J240" t="s">
        <v>255</v>
      </c>
      <c r="M240" t="str">
        <f>VLOOKUP(A240,assignments!A:Y,3,FALSE)</f>
        <v>BAT</v>
      </c>
    </row>
    <row r="241" spans="1:13" x14ac:dyDescent="0.25">
      <c r="A241" t="s">
        <v>256</v>
      </c>
      <c r="B241" t="s">
        <v>78</v>
      </c>
      <c r="C241" t="s">
        <v>127</v>
      </c>
      <c r="D241">
        <v>2012</v>
      </c>
      <c r="E241" t="s">
        <v>775</v>
      </c>
      <c r="F241" t="s">
        <v>180</v>
      </c>
      <c r="G241" s="1">
        <v>41191</v>
      </c>
      <c r="J241" t="s">
        <v>257</v>
      </c>
      <c r="M241" t="str">
        <f>VLOOKUP(A241,assignments!A:Y,3,FALSE)</f>
        <v>Unknown</v>
      </c>
    </row>
    <row r="242" spans="1:13" x14ac:dyDescent="0.25">
      <c r="A242" t="s">
        <v>258</v>
      </c>
      <c r="B242" t="s">
        <v>78</v>
      </c>
      <c r="C242" t="s">
        <v>127</v>
      </c>
      <c r="D242">
        <v>2012</v>
      </c>
      <c r="E242" t="s">
        <v>775</v>
      </c>
      <c r="F242" t="s">
        <v>180</v>
      </c>
      <c r="G242" s="1">
        <v>41191</v>
      </c>
      <c r="I242">
        <v>643</v>
      </c>
      <c r="J242" t="s">
        <v>259</v>
      </c>
      <c r="M242" t="str">
        <f>VLOOKUP(A242,assignments!A:Y,3,FALSE)</f>
        <v>CNH</v>
      </c>
    </row>
    <row r="243" spans="1:13" x14ac:dyDescent="0.25">
      <c r="A243" t="s">
        <v>260</v>
      </c>
      <c r="B243" t="s">
        <v>78</v>
      </c>
      <c r="C243" t="s">
        <v>127</v>
      </c>
      <c r="D243">
        <v>2012</v>
      </c>
      <c r="E243" t="s">
        <v>775</v>
      </c>
      <c r="F243" t="s">
        <v>180</v>
      </c>
      <c r="G243" s="1">
        <v>41207</v>
      </c>
      <c r="I243">
        <v>730</v>
      </c>
      <c r="J243" t="s">
        <v>261</v>
      </c>
      <c r="M243" t="str">
        <f>VLOOKUP(A243,assignments!A:Y,3,FALSE)</f>
        <v>DEE</v>
      </c>
    </row>
    <row r="244" spans="1:13" x14ac:dyDescent="0.25">
      <c r="A244" t="s">
        <v>262</v>
      </c>
      <c r="B244" t="s">
        <v>78</v>
      </c>
      <c r="C244" t="s">
        <v>127</v>
      </c>
      <c r="D244">
        <v>2012</v>
      </c>
      <c r="E244" t="s">
        <v>775</v>
      </c>
      <c r="F244" t="s">
        <v>180</v>
      </c>
      <c r="G244" s="1">
        <v>41207</v>
      </c>
      <c r="J244" t="s">
        <v>263</v>
      </c>
      <c r="M244" t="str">
        <f>VLOOKUP(A244,assignments!A:Y,3,FALSE)</f>
        <v>CNH</v>
      </c>
    </row>
    <row r="245" spans="1:13" hidden="1" x14ac:dyDescent="0.25">
      <c r="A245" t="s">
        <v>264</v>
      </c>
      <c r="B245" t="s">
        <v>78</v>
      </c>
      <c r="C245" t="s">
        <v>127</v>
      </c>
      <c r="D245">
        <v>2012</v>
      </c>
      <c r="E245" t="s">
        <v>775</v>
      </c>
      <c r="F245" t="s">
        <v>180</v>
      </c>
      <c r="G245" s="1">
        <v>41193</v>
      </c>
      <c r="I245">
        <v>795</v>
      </c>
      <c r="J245" t="s">
        <v>265</v>
      </c>
      <c r="K245" t="s">
        <v>778</v>
      </c>
      <c r="M245" t="str">
        <f>VLOOKUP(A245,assignments!A:Y,3,FALSE)</f>
        <v>THE</v>
      </c>
    </row>
    <row r="246" spans="1:13" x14ac:dyDescent="0.25">
      <c r="A246" t="s">
        <v>266</v>
      </c>
      <c r="B246" t="s">
        <v>78</v>
      </c>
      <c r="C246" t="s">
        <v>127</v>
      </c>
      <c r="D246">
        <v>2012</v>
      </c>
      <c r="E246" t="s">
        <v>775</v>
      </c>
      <c r="F246" t="s">
        <v>180</v>
      </c>
      <c r="G246" s="1">
        <v>41193</v>
      </c>
      <c r="J246" t="s">
        <v>267</v>
      </c>
      <c r="M246" t="str">
        <f>VLOOKUP(A246,assignments!A:Y,3,FALSE)</f>
        <v>SAC</v>
      </c>
    </row>
    <row r="247" spans="1:13" hidden="1" x14ac:dyDescent="0.25">
      <c r="A247" t="s">
        <v>268</v>
      </c>
      <c r="B247" t="s">
        <v>78</v>
      </c>
      <c r="C247" t="s">
        <v>127</v>
      </c>
      <c r="D247">
        <v>2012</v>
      </c>
      <c r="E247" t="s">
        <v>775</v>
      </c>
      <c r="F247" t="s">
        <v>180</v>
      </c>
      <c r="G247" s="1">
        <v>41194</v>
      </c>
      <c r="I247">
        <v>0</v>
      </c>
      <c r="J247" t="s">
        <v>269</v>
      </c>
      <c r="K247" t="s">
        <v>778</v>
      </c>
      <c r="M247" t="str">
        <f>VLOOKUP(A247,assignments!A:Y,3,FALSE)</f>
        <v>FRH</v>
      </c>
    </row>
    <row r="248" spans="1:13" x14ac:dyDescent="0.25">
      <c r="A248" t="s">
        <v>270</v>
      </c>
      <c r="B248" t="s">
        <v>78</v>
      </c>
      <c r="C248" t="s">
        <v>127</v>
      </c>
      <c r="D248">
        <v>2012</v>
      </c>
      <c r="E248" t="s">
        <v>775</v>
      </c>
      <c r="F248" t="s">
        <v>180</v>
      </c>
      <c r="G248" s="1">
        <v>41193</v>
      </c>
      <c r="I248">
        <v>810</v>
      </c>
      <c r="J248" t="s">
        <v>271</v>
      </c>
      <c r="M248" t="str">
        <f>VLOOKUP(A248,assignments!A:Y,3,FALSE)</f>
        <v>DEE</v>
      </c>
    </row>
    <row r="249" spans="1:13" x14ac:dyDescent="0.25">
      <c r="A249" t="s">
        <v>272</v>
      </c>
      <c r="B249" t="s">
        <v>78</v>
      </c>
      <c r="C249" t="s">
        <v>127</v>
      </c>
      <c r="D249">
        <v>2012</v>
      </c>
      <c r="E249" t="s">
        <v>775</v>
      </c>
      <c r="F249" t="s">
        <v>180</v>
      </c>
      <c r="G249" s="1">
        <v>41193</v>
      </c>
      <c r="I249">
        <v>700</v>
      </c>
      <c r="J249" t="s">
        <v>273</v>
      </c>
      <c r="M249" t="str">
        <f>VLOOKUP(A249,assignments!A:Y,3,FALSE)</f>
        <v>DEE</v>
      </c>
    </row>
    <row r="250" spans="1:13" x14ac:dyDescent="0.25">
      <c r="A250" t="s">
        <v>274</v>
      </c>
      <c r="B250" t="s">
        <v>78</v>
      </c>
      <c r="C250" t="s">
        <v>127</v>
      </c>
      <c r="D250">
        <v>2012</v>
      </c>
      <c r="E250" t="s">
        <v>775</v>
      </c>
      <c r="F250" t="s">
        <v>180</v>
      </c>
      <c r="G250" s="1">
        <v>41193</v>
      </c>
      <c r="I250">
        <v>780</v>
      </c>
      <c r="J250" t="s">
        <v>275</v>
      </c>
      <c r="M250" t="str">
        <f>VLOOKUP(A250,assignments!A:Y,3,FALSE)</f>
        <v>DEE</v>
      </c>
    </row>
    <row r="251" spans="1:13" x14ac:dyDescent="0.25">
      <c r="A251" t="s">
        <v>276</v>
      </c>
      <c r="B251" t="s">
        <v>78</v>
      </c>
      <c r="C251" t="s">
        <v>127</v>
      </c>
      <c r="D251">
        <v>2012</v>
      </c>
      <c r="E251" t="s">
        <v>775</v>
      </c>
      <c r="F251" t="s">
        <v>180</v>
      </c>
      <c r="G251" s="1">
        <v>41193</v>
      </c>
      <c r="I251">
        <v>760</v>
      </c>
      <c r="J251" t="s">
        <v>277</v>
      </c>
      <c r="M251" t="str">
        <f>VLOOKUP(A251,assignments!A:Y,3,FALSE)</f>
        <v>BAT</v>
      </c>
    </row>
    <row r="252" spans="1:13" x14ac:dyDescent="0.25">
      <c r="A252" t="s">
        <v>278</v>
      </c>
      <c r="B252" t="s">
        <v>78</v>
      </c>
      <c r="C252" t="s">
        <v>127</v>
      </c>
      <c r="D252">
        <v>2012</v>
      </c>
      <c r="E252" t="s">
        <v>775</v>
      </c>
      <c r="F252" t="s">
        <v>180</v>
      </c>
      <c r="G252" s="1">
        <v>41193</v>
      </c>
      <c r="I252">
        <v>790</v>
      </c>
      <c r="J252" t="s">
        <v>279</v>
      </c>
      <c r="M252" t="str">
        <f>VLOOKUP(A252,assignments!A:Y,3,FALSE)</f>
        <v>Unknown</v>
      </c>
    </row>
    <row r="253" spans="1:13" x14ac:dyDescent="0.25">
      <c r="A253" t="s">
        <v>280</v>
      </c>
      <c r="B253" t="s">
        <v>78</v>
      </c>
      <c r="C253" t="s">
        <v>127</v>
      </c>
      <c r="D253">
        <v>2012</v>
      </c>
      <c r="E253" t="s">
        <v>775</v>
      </c>
      <c r="F253" t="s">
        <v>180</v>
      </c>
      <c r="G253" s="1">
        <v>41193</v>
      </c>
      <c r="I253">
        <v>660</v>
      </c>
      <c r="J253" t="s">
        <v>281</v>
      </c>
      <c r="M253" t="str">
        <f>VLOOKUP(A253,assignments!A:Y,3,FALSE)</f>
        <v>BAT</v>
      </c>
    </row>
    <row r="254" spans="1:13" hidden="1" x14ac:dyDescent="0.25">
      <c r="A254" t="s">
        <v>282</v>
      </c>
      <c r="B254" t="s">
        <v>78</v>
      </c>
      <c r="C254" t="s">
        <v>127</v>
      </c>
      <c r="D254">
        <v>2012</v>
      </c>
      <c r="E254" t="s">
        <v>775</v>
      </c>
      <c r="F254" t="s">
        <v>180</v>
      </c>
      <c r="G254" s="1">
        <v>41193</v>
      </c>
      <c r="I254">
        <v>860</v>
      </c>
      <c r="J254" t="s">
        <v>283</v>
      </c>
      <c r="K254" t="s">
        <v>778</v>
      </c>
      <c r="M254" t="str">
        <f>VLOOKUP(A254,assignments!A:Y,3,FALSE)</f>
        <v>FRH</v>
      </c>
    </row>
    <row r="255" spans="1:13" x14ac:dyDescent="0.25">
      <c r="A255" t="s">
        <v>284</v>
      </c>
      <c r="B255" t="s">
        <v>78</v>
      </c>
      <c r="C255" t="s">
        <v>127</v>
      </c>
      <c r="D255">
        <v>2012</v>
      </c>
      <c r="E255" t="s">
        <v>775</v>
      </c>
      <c r="F255" t="s">
        <v>180</v>
      </c>
      <c r="G255" s="1">
        <v>41193</v>
      </c>
      <c r="I255">
        <v>770</v>
      </c>
      <c r="J255" t="s">
        <v>285</v>
      </c>
      <c r="M255" t="str">
        <f>VLOOKUP(A255,assignments!A:Y,3,FALSE)</f>
        <v>DEE</v>
      </c>
    </row>
    <row r="256" spans="1:13" hidden="1" x14ac:dyDescent="0.25">
      <c r="A256" t="s">
        <v>286</v>
      </c>
      <c r="B256" t="s">
        <v>78</v>
      </c>
      <c r="C256" t="s">
        <v>127</v>
      </c>
      <c r="D256">
        <v>2012</v>
      </c>
      <c r="E256" t="s">
        <v>775</v>
      </c>
      <c r="F256" t="s">
        <v>180</v>
      </c>
      <c r="G256" s="1">
        <v>41193</v>
      </c>
      <c r="I256">
        <v>920</v>
      </c>
      <c r="J256" t="s">
        <v>287</v>
      </c>
      <c r="K256" t="s">
        <v>778</v>
      </c>
      <c r="M256" t="str">
        <f>VLOOKUP(A256,assignments!A:Y,3,FALSE)</f>
        <v>THE</v>
      </c>
    </row>
    <row r="257" spans="1:13" hidden="1" x14ac:dyDescent="0.25">
      <c r="A257" t="s">
        <v>288</v>
      </c>
      <c r="B257" t="s">
        <v>78</v>
      </c>
      <c r="C257" t="s">
        <v>127</v>
      </c>
      <c r="D257">
        <v>2012</v>
      </c>
      <c r="E257" t="s">
        <v>775</v>
      </c>
      <c r="F257" t="s">
        <v>180</v>
      </c>
      <c r="G257" s="1">
        <v>41193</v>
      </c>
      <c r="I257">
        <v>740</v>
      </c>
      <c r="J257" t="s">
        <v>289</v>
      </c>
      <c r="K257" t="s">
        <v>778</v>
      </c>
      <c r="M257" t="str">
        <f>VLOOKUP(A257,assignments!A:Y,3,FALSE)</f>
        <v>THE</v>
      </c>
    </row>
    <row r="258" spans="1:13" x14ac:dyDescent="0.25">
      <c r="A258" t="s">
        <v>290</v>
      </c>
      <c r="B258" t="s">
        <v>78</v>
      </c>
      <c r="C258" t="s">
        <v>127</v>
      </c>
      <c r="D258">
        <v>2012</v>
      </c>
      <c r="E258" t="s">
        <v>775</v>
      </c>
      <c r="F258" t="s">
        <v>180</v>
      </c>
      <c r="G258" s="1">
        <v>41206</v>
      </c>
      <c r="J258" t="s">
        <v>291</v>
      </c>
      <c r="M258" t="str">
        <f>VLOOKUP(A258,assignments!A:Y,3,FALSE)</f>
        <v>SAC</v>
      </c>
    </row>
    <row r="259" spans="1:13" x14ac:dyDescent="0.25">
      <c r="A259" t="s">
        <v>292</v>
      </c>
      <c r="B259" t="s">
        <v>78</v>
      </c>
      <c r="C259" t="s">
        <v>127</v>
      </c>
      <c r="D259">
        <v>2012</v>
      </c>
      <c r="E259" t="s">
        <v>775</v>
      </c>
      <c r="F259" t="s">
        <v>180</v>
      </c>
      <c r="G259" s="1">
        <v>41206</v>
      </c>
      <c r="J259" t="s">
        <v>293</v>
      </c>
      <c r="M259" t="str">
        <f>VLOOKUP(A259,assignments!A:Y,3,FALSE)</f>
        <v>SAC</v>
      </c>
    </row>
    <row r="260" spans="1:13" x14ac:dyDescent="0.25">
      <c r="A260" t="s">
        <v>294</v>
      </c>
      <c r="B260" t="s">
        <v>78</v>
      </c>
      <c r="C260" t="s">
        <v>127</v>
      </c>
      <c r="D260">
        <v>2012</v>
      </c>
      <c r="E260" t="s">
        <v>775</v>
      </c>
      <c r="F260" t="s">
        <v>180</v>
      </c>
      <c r="G260" s="1">
        <v>41207</v>
      </c>
      <c r="I260">
        <v>675</v>
      </c>
      <c r="J260" t="s">
        <v>295</v>
      </c>
      <c r="M260" t="str">
        <f>VLOOKUP(A260,assignments!A:Y,3,FALSE)</f>
        <v>DEE</v>
      </c>
    </row>
    <row r="261" spans="1:13" x14ac:dyDescent="0.25">
      <c r="A261" t="s">
        <v>296</v>
      </c>
      <c r="B261" t="s">
        <v>78</v>
      </c>
      <c r="C261" t="s">
        <v>127</v>
      </c>
      <c r="D261">
        <v>2012</v>
      </c>
      <c r="E261" t="s">
        <v>775</v>
      </c>
      <c r="F261" t="s">
        <v>180</v>
      </c>
      <c r="G261" s="1">
        <v>41207</v>
      </c>
      <c r="I261">
        <v>770</v>
      </c>
      <c r="J261" t="s">
        <v>297</v>
      </c>
      <c r="M261" t="str">
        <f>VLOOKUP(A261,assignments!A:Y,3,FALSE)</f>
        <v>DEE</v>
      </c>
    </row>
    <row r="262" spans="1:13" hidden="1" x14ac:dyDescent="0.25">
      <c r="A262" t="s">
        <v>298</v>
      </c>
      <c r="B262" t="s">
        <v>78</v>
      </c>
      <c r="C262" t="s">
        <v>127</v>
      </c>
      <c r="D262">
        <v>2012</v>
      </c>
      <c r="E262" t="s">
        <v>775</v>
      </c>
      <c r="F262" t="s">
        <v>180</v>
      </c>
      <c r="G262" s="1">
        <v>41207</v>
      </c>
      <c r="J262" t="s">
        <v>299</v>
      </c>
      <c r="K262" t="s">
        <v>778</v>
      </c>
      <c r="M262" t="str">
        <f>VLOOKUP(A262,assignments!A:Y,3,FALSE)</f>
        <v>FRH</v>
      </c>
    </row>
    <row r="263" spans="1:13" x14ac:dyDescent="0.25">
      <c r="A263" t="s">
        <v>300</v>
      </c>
      <c r="B263" t="s">
        <v>78</v>
      </c>
      <c r="C263" t="s">
        <v>127</v>
      </c>
      <c r="D263">
        <v>2012</v>
      </c>
      <c r="E263" t="s">
        <v>775</v>
      </c>
      <c r="F263" t="s">
        <v>180</v>
      </c>
      <c r="G263" s="1">
        <v>41193</v>
      </c>
      <c r="I263">
        <v>815</v>
      </c>
      <c r="J263" t="s">
        <v>301</v>
      </c>
      <c r="M263" t="str">
        <f>VLOOKUP(A263,assignments!A:Y,3,FALSE)</f>
        <v>DEE</v>
      </c>
    </row>
    <row r="264" spans="1:13" x14ac:dyDescent="0.25">
      <c r="A264" t="s">
        <v>302</v>
      </c>
      <c r="B264" t="s">
        <v>78</v>
      </c>
      <c r="C264" t="s">
        <v>127</v>
      </c>
      <c r="D264">
        <v>2012</v>
      </c>
      <c r="E264" t="s">
        <v>775</v>
      </c>
      <c r="F264" t="s">
        <v>180</v>
      </c>
      <c r="G264" s="1">
        <v>41193</v>
      </c>
      <c r="I264">
        <v>710</v>
      </c>
      <c r="J264" t="s">
        <v>303</v>
      </c>
      <c r="M264" t="str">
        <f>VLOOKUP(A264,assignments!A:Y,3,FALSE)</f>
        <v>BUT</v>
      </c>
    </row>
    <row r="265" spans="1:13" x14ac:dyDescent="0.25">
      <c r="A265" t="s">
        <v>402</v>
      </c>
      <c r="B265" t="s">
        <v>78</v>
      </c>
      <c r="C265" t="s">
        <v>127</v>
      </c>
      <c r="D265">
        <v>2012</v>
      </c>
      <c r="E265" t="s">
        <v>775</v>
      </c>
      <c r="F265" t="s">
        <v>180</v>
      </c>
      <c r="G265" s="1">
        <v>41193</v>
      </c>
      <c r="I265">
        <v>720</v>
      </c>
      <c r="J265" t="s">
        <v>403</v>
      </c>
      <c r="M265" t="str">
        <f>VLOOKUP(A265,assignments!A:Y,3,FALSE)</f>
        <v>CNH</v>
      </c>
    </row>
    <row r="266" spans="1:13" x14ac:dyDescent="0.25">
      <c r="A266" t="s">
        <v>404</v>
      </c>
      <c r="B266" t="s">
        <v>78</v>
      </c>
      <c r="C266" t="s">
        <v>127</v>
      </c>
      <c r="D266">
        <v>2012</v>
      </c>
      <c r="E266" t="s">
        <v>775</v>
      </c>
      <c r="F266" t="s">
        <v>180</v>
      </c>
      <c r="G266" s="1">
        <v>41207</v>
      </c>
      <c r="I266">
        <v>770</v>
      </c>
      <c r="J266" t="s">
        <v>405</v>
      </c>
      <c r="M266" t="str">
        <f>VLOOKUP(A266,assignments!A:Y,3,FALSE)</f>
        <v>MIL</v>
      </c>
    </row>
    <row r="267" spans="1:13" x14ac:dyDescent="0.25">
      <c r="A267" t="s">
        <v>406</v>
      </c>
      <c r="B267" t="s">
        <v>78</v>
      </c>
      <c r="C267" t="s">
        <v>127</v>
      </c>
      <c r="D267">
        <v>2012</v>
      </c>
      <c r="E267" t="s">
        <v>775</v>
      </c>
      <c r="F267" t="s">
        <v>180</v>
      </c>
      <c r="G267" s="1">
        <v>41207</v>
      </c>
      <c r="I267">
        <v>780</v>
      </c>
      <c r="J267" t="s">
        <v>407</v>
      </c>
      <c r="M267" t="str">
        <f>VLOOKUP(A267,assignments!A:Y,3,FALSE)</f>
        <v>BUT</v>
      </c>
    </row>
    <row r="268" spans="1:13" hidden="1" x14ac:dyDescent="0.25">
      <c r="A268" t="s">
        <v>408</v>
      </c>
      <c r="B268" t="s">
        <v>78</v>
      </c>
      <c r="C268" t="s">
        <v>127</v>
      </c>
      <c r="D268">
        <v>2012</v>
      </c>
      <c r="E268" t="s">
        <v>775</v>
      </c>
      <c r="F268" t="s">
        <v>180</v>
      </c>
      <c r="G268" s="1">
        <v>41207</v>
      </c>
      <c r="I268">
        <v>700</v>
      </c>
      <c r="J268" t="s">
        <v>409</v>
      </c>
      <c r="K268" t="s">
        <v>778</v>
      </c>
      <c r="M268" t="str">
        <f>VLOOKUP(A268,assignments!A:Y,3,FALSE)</f>
        <v>STA</v>
      </c>
    </row>
    <row r="269" spans="1:13" x14ac:dyDescent="0.25">
      <c r="A269" t="s">
        <v>410</v>
      </c>
      <c r="B269" t="s">
        <v>78</v>
      </c>
      <c r="C269" t="s">
        <v>127</v>
      </c>
      <c r="D269">
        <v>2012</v>
      </c>
      <c r="E269" t="s">
        <v>775</v>
      </c>
      <c r="F269" t="s">
        <v>180</v>
      </c>
      <c r="G269" s="1">
        <v>41207</v>
      </c>
      <c r="I269">
        <v>710</v>
      </c>
      <c r="J269" t="s">
        <v>411</v>
      </c>
      <c r="M269" t="str">
        <f>VLOOKUP(A269,assignments!A:Y,3,FALSE)</f>
        <v>BAT</v>
      </c>
    </row>
    <row r="270" spans="1:13" x14ac:dyDescent="0.25">
      <c r="A270" t="s">
        <v>412</v>
      </c>
      <c r="B270" t="s">
        <v>78</v>
      </c>
      <c r="C270" t="s">
        <v>127</v>
      </c>
      <c r="D270">
        <v>2012</v>
      </c>
      <c r="E270" t="s">
        <v>775</v>
      </c>
      <c r="F270" t="s">
        <v>180</v>
      </c>
      <c r="G270" s="1">
        <v>41207</v>
      </c>
      <c r="J270" t="s">
        <v>413</v>
      </c>
      <c r="M270" t="str">
        <f>VLOOKUP(A270,assignments!A:Y,3,FALSE)</f>
        <v>DEE</v>
      </c>
    </row>
    <row r="271" spans="1:13" x14ac:dyDescent="0.25">
      <c r="A271" t="s">
        <v>414</v>
      </c>
      <c r="B271" t="s">
        <v>78</v>
      </c>
      <c r="C271" t="s">
        <v>127</v>
      </c>
      <c r="D271">
        <v>2012</v>
      </c>
      <c r="E271" t="s">
        <v>775</v>
      </c>
      <c r="F271" t="s">
        <v>180</v>
      </c>
      <c r="G271" s="1">
        <v>41207</v>
      </c>
      <c r="J271" t="s">
        <v>415</v>
      </c>
      <c r="M271" t="str">
        <f>VLOOKUP(A271,assignments!A:Y,3,FALSE)</f>
        <v>CNH</v>
      </c>
    </row>
    <row r="272" spans="1:13" x14ac:dyDescent="0.25">
      <c r="A272" t="s">
        <v>416</v>
      </c>
      <c r="B272" t="s">
        <v>78</v>
      </c>
      <c r="C272" t="s">
        <v>127</v>
      </c>
      <c r="D272">
        <v>2012</v>
      </c>
      <c r="E272" t="s">
        <v>775</v>
      </c>
      <c r="F272" t="s">
        <v>180</v>
      </c>
      <c r="G272" s="1">
        <v>41194</v>
      </c>
      <c r="I272">
        <v>760</v>
      </c>
      <c r="J272" t="s">
        <v>417</v>
      </c>
      <c r="M272" t="str">
        <f>VLOOKUP(A272,assignments!A:Y,3,FALSE)</f>
        <v>BAT</v>
      </c>
    </row>
    <row r="273" spans="1:13" x14ac:dyDescent="0.25">
      <c r="A273" t="s">
        <v>418</v>
      </c>
      <c r="B273" t="s">
        <v>78</v>
      </c>
      <c r="C273" t="s">
        <v>127</v>
      </c>
      <c r="D273">
        <v>2012</v>
      </c>
      <c r="E273" t="s">
        <v>775</v>
      </c>
      <c r="F273" t="s">
        <v>180</v>
      </c>
      <c r="G273" s="1">
        <v>41193</v>
      </c>
      <c r="I273">
        <v>640</v>
      </c>
      <c r="J273" t="s">
        <v>419</v>
      </c>
      <c r="M273" t="str">
        <f>VLOOKUP(A273,assignments!A:Y,3,FALSE)</f>
        <v>BAT</v>
      </c>
    </row>
    <row r="274" spans="1:13" hidden="1" x14ac:dyDescent="0.25">
      <c r="A274" t="s">
        <v>420</v>
      </c>
      <c r="B274" t="s">
        <v>78</v>
      </c>
      <c r="C274" t="s">
        <v>127</v>
      </c>
      <c r="D274">
        <v>2012</v>
      </c>
      <c r="E274" t="s">
        <v>775</v>
      </c>
      <c r="F274" t="s">
        <v>180</v>
      </c>
      <c r="G274" s="1">
        <v>41193</v>
      </c>
      <c r="I274">
        <v>740</v>
      </c>
      <c r="J274" t="s">
        <v>421</v>
      </c>
      <c r="K274" t="s">
        <v>778</v>
      </c>
      <c r="M274" t="str">
        <f>VLOOKUP(A274,assignments!A:Y,3,FALSE)</f>
        <v>FRH</v>
      </c>
    </row>
    <row r="275" spans="1:13" x14ac:dyDescent="0.25">
      <c r="A275" t="s">
        <v>422</v>
      </c>
      <c r="B275" t="s">
        <v>78</v>
      </c>
      <c r="C275" t="s">
        <v>127</v>
      </c>
      <c r="D275">
        <v>2012</v>
      </c>
      <c r="E275" t="s">
        <v>775</v>
      </c>
      <c r="F275" t="s">
        <v>180</v>
      </c>
      <c r="G275" s="1">
        <v>41206</v>
      </c>
      <c r="J275" t="s">
        <v>423</v>
      </c>
      <c r="M275" t="str">
        <f>VLOOKUP(A275,assignments!A:Y,3,FALSE)</f>
        <v>CNH</v>
      </c>
    </row>
    <row r="276" spans="1:13" x14ac:dyDescent="0.25">
      <c r="A276" t="s">
        <v>424</v>
      </c>
      <c r="B276" t="s">
        <v>78</v>
      </c>
      <c r="C276" t="s">
        <v>127</v>
      </c>
      <c r="D276">
        <v>2012</v>
      </c>
      <c r="E276" t="s">
        <v>775</v>
      </c>
      <c r="F276" t="s">
        <v>180</v>
      </c>
      <c r="G276" s="1">
        <v>41193</v>
      </c>
      <c r="I276">
        <v>755</v>
      </c>
      <c r="J276" t="s">
        <v>425</v>
      </c>
      <c r="M276" t="str">
        <f>VLOOKUP(A276,assignments!A:Y,3,FALSE)</f>
        <v>MIL</v>
      </c>
    </row>
    <row r="277" spans="1:13" x14ac:dyDescent="0.25">
      <c r="A277" t="s">
        <v>426</v>
      </c>
      <c r="B277" t="s">
        <v>78</v>
      </c>
      <c r="C277" t="s">
        <v>127</v>
      </c>
      <c r="D277">
        <v>2012</v>
      </c>
      <c r="E277" t="s">
        <v>775</v>
      </c>
      <c r="F277" t="s">
        <v>180</v>
      </c>
      <c r="G277" s="1">
        <v>41193</v>
      </c>
      <c r="I277">
        <v>810</v>
      </c>
      <c r="J277" t="s">
        <v>427</v>
      </c>
      <c r="M277" t="str">
        <f>VLOOKUP(A277,assignments!A:Y,3,FALSE)</f>
        <v>CNH</v>
      </c>
    </row>
    <row r="278" spans="1:13" x14ac:dyDescent="0.25">
      <c r="A278" t="s">
        <v>428</v>
      </c>
      <c r="B278" t="s">
        <v>78</v>
      </c>
      <c r="C278" t="s">
        <v>127</v>
      </c>
      <c r="D278">
        <v>2012</v>
      </c>
      <c r="E278" t="s">
        <v>775</v>
      </c>
      <c r="F278" t="s">
        <v>180</v>
      </c>
      <c r="G278" s="1">
        <v>41193</v>
      </c>
      <c r="I278">
        <v>775</v>
      </c>
      <c r="J278" t="s">
        <v>429</v>
      </c>
      <c r="M278" t="str">
        <f>VLOOKUP(A278,assignments!A:Y,3,FALSE)</f>
        <v>CNH</v>
      </c>
    </row>
    <row r="279" spans="1:13" x14ac:dyDescent="0.25">
      <c r="A279" t="s">
        <v>430</v>
      </c>
      <c r="B279" t="s">
        <v>78</v>
      </c>
      <c r="C279" t="s">
        <v>127</v>
      </c>
      <c r="D279">
        <v>2012</v>
      </c>
      <c r="E279" t="s">
        <v>775</v>
      </c>
      <c r="F279" t="s">
        <v>180</v>
      </c>
      <c r="G279" s="1">
        <v>41193</v>
      </c>
      <c r="I279">
        <v>675</v>
      </c>
      <c r="J279" t="s">
        <v>431</v>
      </c>
      <c r="M279" t="str">
        <f>VLOOKUP(A279,assignments!A:Y,3,FALSE)</f>
        <v>DEE</v>
      </c>
    </row>
    <row r="280" spans="1:13" x14ac:dyDescent="0.25">
      <c r="A280" t="s">
        <v>432</v>
      </c>
      <c r="B280" t="s">
        <v>78</v>
      </c>
      <c r="C280" t="s">
        <v>127</v>
      </c>
      <c r="D280">
        <v>2012</v>
      </c>
      <c r="E280" t="s">
        <v>775</v>
      </c>
      <c r="F280" t="s">
        <v>180</v>
      </c>
      <c r="G280" s="1">
        <v>41193</v>
      </c>
      <c r="J280" t="s">
        <v>433</v>
      </c>
      <c r="M280" t="str">
        <f>VLOOKUP(A280,assignments!A:Y,3,FALSE)</f>
        <v>BAT</v>
      </c>
    </row>
    <row r="281" spans="1:13" x14ac:dyDescent="0.25">
      <c r="A281" t="s">
        <v>434</v>
      </c>
      <c r="B281" t="s">
        <v>78</v>
      </c>
      <c r="C281" t="s">
        <v>127</v>
      </c>
      <c r="D281">
        <v>2012</v>
      </c>
      <c r="E281" t="s">
        <v>775</v>
      </c>
      <c r="F281" t="s">
        <v>180</v>
      </c>
      <c r="G281" s="1">
        <v>41193</v>
      </c>
      <c r="I281">
        <v>715</v>
      </c>
      <c r="J281" t="s">
        <v>435</v>
      </c>
      <c r="M281" t="str">
        <f>VLOOKUP(A281,assignments!A:Y,3,FALSE)</f>
        <v>BAT</v>
      </c>
    </row>
    <row r="282" spans="1:13" x14ac:dyDescent="0.25">
      <c r="A282" t="s">
        <v>436</v>
      </c>
      <c r="B282" t="s">
        <v>78</v>
      </c>
      <c r="C282" t="s">
        <v>127</v>
      </c>
      <c r="D282">
        <v>2012</v>
      </c>
      <c r="E282" t="s">
        <v>775</v>
      </c>
      <c r="F282" t="s">
        <v>180</v>
      </c>
      <c r="G282" s="1">
        <v>41193</v>
      </c>
      <c r="I282">
        <v>715</v>
      </c>
      <c r="J282" t="s">
        <v>437</v>
      </c>
      <c r="M282" t="str">
        <f>VLOOKUP(A282,assignments!A:Y,3,FALSE)</f>
        <v>Unknown</v>
      </c>
    </row>
    <row r="283" spans="1:13" hidden="1" x14ac:dyDescent="0.25">
      <c r="A283" t="s">
        <v>438</v>
      </c>
      <c r="B283" t="s">
        <v>78</v>
      </c>
      <c r="C283" t="s">
        <v>127</v>
      </c>
      <c r="D283">
        <v>2012</v>
      </c>
      <c r="E283" t="s">
        <v>775</v>
      </c>
      <c r="F283" t="s">
        <v>180</v>
      </c>
      <c r="G283" s="1">
        <v>41208</v>
      </c>
      <c r="I283">
        <v>830</v>
      </c>
      <c r="J283" t="s">
        <v>439</v>
      </c>
      <c r="K283" t="s">
        <v>778</v>
      </c>
      <c r="M283" t="str">
        <f>VLOOKUP(A283,assignments!A:Y,3,FALSE)</f>
        <v>THE</v>
      </c>
    </row>
    <row r="284" spans="1:13" x14ac:dyDescent="0.25">
      <c r="A284" t="s">
        <v>440</v>
      </c>
      <c r="B284" t="s">
        <v>78</v>
      </c>
      <c r="C284" t="s">
        <v>127</v>
      </c>
      <c r="D284">
        <v>2012</v>
      </c>
      <c r="E284" t="s">
        <v>775</v>
      </c>
      <c r="F284" t="s">
        <v>180</v>
      </c>
      <c r="G284" s="1">
        <v>41208</v>
      </c>
      <c r="I284">
        <v>740</v>
      </c>
      <c r="J284" t="s">
        <v>441</v>
      </c>
      <c r="M284" t="str">
        <f>VLOOKUP(A284,assignments!A:Y,3,FALSE)</f>
        <v>MIL</v>
      </c>
    </row>
    <row r="285" spans="1:13" hidden="1" x14ac:dyDescent="0.25">
      <c r="A285" t="s">
        <v>442</v>
      </c>
      <c r="B285" t="s">
        <v>78</v>
      </c>
      <c r="C285" t="s">
        <v>127</v>
      </c>
      <c r="D285">
        <v>2012</v>
      </c>
      <c r="E285" t="s">
        <v>775</v>
      </c>
      <c r="F285" t="s">
        <v>180</v>
      </c>
      <c r="G285" s="1">
        <v>41222</v>
      </c>
      <c r="I285">
        <v>810</v>
      </c>
      <c r="J285" t="s">
        <v>443</v>
      </c>
      <c r="K285" t="s">
        <v>778</v>
      </c>
      <c r="M285" t="str">
        <f>VLOOKUP(A285,assignments!A:Y,3,FALSE)</f>
        <v>FEA</v>
      </c>
    </row>
    <row r="286" spans="1:13" x14ac:dyDescent="0.25">
      <c r="A286" t="s">
        <v>444</v>
      </c>
      <c r="B286" t="s">
        <v>78</v>
      </c>
      <c r="C286" t="s">
        <v>127</v>
      </c>
      <c r="D286">
        <v>2012</v>
      </c>
      <c r="E286" t="s">
        <v>775</v>
      </c>
      <c r="F286" t="s">
        <v>180</v>
      </c>
      <c r="G286" s="1">
        <v>41207</v>
      </c>
      <c r="I286">
        <v>875</v>
      </c>
      <c r="J286" t="s">
        <v>445</v>
      </c>
      <c r="M286" t="str">
        <f>VLOOKUP(A286,assignments!A:Y,3,FALSE)</f>
        <v>CNH</v>
      </c>
    </row>
    <row r="287" spans="1:13" x14ac:dyDescent="0.25">
      <c r="A287" t="s">
        <v>356</v>
      </c>
      <c r="B287" t="s">
        <v>78</v>
      </c>
      <c r="C287" t="s">
        <v>127</v>
      </c>
      <c r="D287">
        <v>2013</v>
      </c>
      <c r="E287" t="s">
        <v>775</v>
      </c>
      <c r="F287" t="s">
        <v>180</v>
      </c>
      <c r="G287" s="1">
        <v>41486</v>
      </c>
      <c r="J287" t="s">
        <v>357</v>
      </c>
      <c r="M287" t="str">
        <f>VLOOKUP(A287,assignments!A:Y,3,FALSE)</f>
        <v>BAT</v>
      </c>
    </row>
    <row r="288" spans="1:13" x14ac:dyDescent="0.25">
      <c r="A288" t="s">
        <v>358</v>
      </c>
      <c r="B288" t="s">
        <v>78</v>
      </c>
      <c r="C288" t="s">
        <v>127</v>
      </c>
      <c r="D288">
        <v>2013</v>
      </c>
      <c r="E288" t="s">
        <v>775</v>
      </c>
      <c r="F288" t="s">
        <v>180</v>
      </c>
      <c r="G288" s="1">
        <v>41527</v>
      </c>
      <c r="J288" t="s">
        <v>359</v>
      </c>
      <c r="M288" t="str">
        <f>VLOOKUP(A288,assignments!A:Y,3,FALSE)</f>
        <v>CNH</v>
      </c>
    </row>
    <row r="289" spans="1:13" x14ac:dyDescent="0.25">
      <c r="A289" t="s">
        <v>360</v>
      </c>
      <c r="B289" t="s">
        <v>78</v>
      </c>
      <c r="C289" t="s">
        <v>127</v>
      </c>
      <c r="D289">
        <v>2013</v>
      </c>
      <c r="E289" t="s">
        <v>775</v>
      </c>
      <c r="F289" t="s">
        <v>180</v>
      </c>
      <c r="G289" s="1">
        <v>41530</v>
      </c>
      <c r="I289">
        <v>650</v>
      </c>
      <c r="J289" t="s">
        <v>361</v>
      </c>
      <c r="M289" t="str">
        <f>VLOOKUP(A289,assignments!A:Y,3,FALSE)</f>
        <v>BAT</v>
      </c>
    </row>
    <row r="290" spans="1:13" x14ac:dyDescent="0.25">
      <c r="A290" t="s">
        <v>362</v>
      </c>
      <c r="B290" t="s">
        <v>78</v>
      </c>
      <c r="C290" t="s">
        <v>127</v>
      </c>
      <c r="D290">
        <v>2013</v>
      </c>
      <c r="E290" t="s">
        <v>775</v>
      </c>
      <c r="F290" t="s">
        <v>180</v>
      </c>
      <c r="G290" s="1">
        <v>41569</v>
      </c>
      <c r="I290">
        <v>790</v>
      </c>
      <c r="J290" t="s">
        <v>363</v>
      </c>
      <c r="M290" t="str">
        <f>VLOOKUP(A290,assignments!A:Y,3,FALSE)</f>
        <v>CNH</v>
      </c>
    </row>
    <row r="291" spans="1:13" hidden="1" x14ac:dyDescent="0.25">
      <c r="A291" t="s">
        <v>364</v>
      </c>
      <c r="B291" t="s">
        <v>78</v>
      </c>
      <c r="C291" t="s">
        <v>127</v>
      </c>
      <c r="D291">
        <v>2013</v>
      </c>
      <c r="E291" t="s">
        <v>775</v>
      </c>
      <c r="F291" t="s">
        <v>180</v>
      </c>
      <c r="G291" s="1">
        <v>41569</v>
      </c>
      <c r="I291">
        <v>785</v>
      </c>
      <c r="J291" t="s">
        <v>365</v>
      </c>
      <c r="K291" t="s">
        <v>778</v>
      </c>
      <c r="M291" t="str">
        <f>VLOOKUP(A291,assignments!A:Y,3,FALSE)</f>
        <v>FRH</v>
      </c>
    </row>
    <row r="292" spans="1:13" x14ac:dyDescent="0.25">
      <c r="A292" t="s">
        <v>366</v>
      </c>
      <c r="B292" t="s">
        <v>78</v>
      </c>
      <c r="C292" t="s">
        <v>127</v>
      </c>
      <c r="D292">
        <v>2013</v>
      </c>
      <c r="E292" t="s">
        <v>775</v>
      </c>
      <c r="F292" t="s">
        <v>180</v>
      </c>
      <c r="G292" s="1">
        <v>41569</v>
      </c>
      <c r="I292">
        <v>670</v>
      </c>
      <c r="J292" t="s">
        <v>367</v>
      </c>
      <c r="M292" t="str">
        <f>VLOOKUP(A292,assignments!A:Y,3,FALSE)</f>
        <v>DEE</v>
      </c>
    </row>
    <row r="293" spans="1:13" x14ac:dyDescent="0.25">
      <c r="A293" t="s">
        <v>368</v>
      </c>
      <c r="B293" t="s">
        <v>78</v>
      </c>
      <c r="C293" t="s">
        <v>127</v>
      </c>
      <c r="D293">
        <v>2013</v>
      </c>
      <c r="E293" t="s">
        <v>775</v>
      </c>
      <c r="F293" t="s">
        <v>180</v>
      </c>
      <c r="G293" s="1">
        <v>41569</v>
      </c>
      <c r="I293">
        <v>660</v>
      </c>
      <c r="J293" t="s">
        <v>369</v>
      </c>
      <c r="M293" t="str">
        <f>VLOOKUP(A293,assignments!A:Y,3,FALSE)</f>
        <v>BUT</v>
      </c>
    </row>
    <row r="294" spans="1:13" x14ac:dyDescent="0.25">
      <c r="A294" t="s">
        <v>370</v>
      </c>
      <c r="B294" t="s">
        <v>78</v>
      </c>
      <c r="C294" t="s">
        <v>127</v>
      </c>
      <c r="D294">
        <v>2013</v>
      </c>
      <c r="E294" t="s">
        <v>775</v>
      </c>
      <c r="F294" t="s">
        <v>180</v>
      </c>
      <c r="G294" s="1">
        <v>41569</v>
      </c>
      <c r="J294" t="s">
        <v>371</v>
      </c>
      <c r="M294" t="str">
        <f>VLOOKUP(A294,assignments!A:Y,3,FALSE)</f>
        <v>CNH</v>
      </c>
    </row>
    <row r="295" spans="1:13" hidden="1" x14ac:dyDescent="0.25">
      <c r="A295" t="s">
        <v>372</v>
      </c>
      <c r="B295" t="s">
        <v>78</v>
      </c>
      <c r="C295" t="s">
        <v>127</v>
      </c>
      <c r="D295">
        <v>2013</v>
      </c>
      <c r="E295" t="s">
        <v>775</v>
      </c>
      <c r="F295" t="s">
        <v>180</v>
      </c>
      <c r="G295" s="1">
        <v>41529</v>
      </c>
      <c r="I295">
        <v>820</v>
      </c>
      <c r="J295" t="s">
        <v>373</v>
      </c>
      <c r="K295" t="s">
        <v>778</v>
      </c>
      <c r="M295" t="str">
        <f>VLOOKUP(A295,assignments!A:Y,3,FALSE)</f>
        <v>THE</v>
      </c>
    </row>
    <row r="296" spans="1:13" x14ac:dyDescent="0.25">
      <c r="A296" t="s">
        <v>374</v>
      </c>
      <c r="B296" t="s">
        <v>78</v>
      </c>
      <c r="C296" t="s">
        <v>127</v>
      </c>
      <c r="D296">
        <v>2013</v>
      </c>
      <c r="E296" t="s">
        <v>775</v>
      </c>
      <c r="F296" t="s">
        <v>180</v>
      </c>
      <c r="G296" s="1">
        <v>41568</v>
      </c>
      <c r="I296">
        <v>775</v>
      </c>
      <c r="J296" t="s">
        <v>375</v>
      </c>
      <c r="M296" t="str">
        <f>VLOOKUP(A296,assignments!A:Y,3,FALSE)</f>
        <v>CNH</v>
      </c>
    </row>
    <row r="297" spans="1:13" x14ac:dyDescent="0.25">
      <c r="A297" t="s">
        <v>376</v>
      </c>
      <c r="B297" t="s">
        <v>78</v>
      </c>
      <c r="C297" t="s">
        <v>127</v>
      </c>
      <c r="D297">
        <v>2013</v>
      </c>
      <c r="E297" t="s">
        <v>775</v>
      </c>
      <c r="F297" t="s">
        <v>180</v>
      </c>
      <c r="G297" s="1">
        <v>41568</v>
      </c>
      <c r="I297">
        <v>665</v>
      </c>
      <c r="J297" t="s">
        <v>377</v>
      </c>
      <c r="M297" t="str">
        <f>VLOOKUP(A297,assignments!A:Y,3,FALSE)</f>
        <v>BAT</v>
      </c>
    </row>
    <row r="298" spans="1:13" x14ac:dyDescent="0.25">
      <c r="A298" t="s">
        <v>378</v>
      </c>
      <c r="B298" t="s">
        <v>78</v>
      </c>
      <c r="C298" t="s">
        <v>127</v>
      </c>
      <c r="D298">
        <v>2013</v>
      </c>
      <c r="E298" t="s">
        <v>775</v>
      </c>
      <c r="F298" t="s">
        <v>180</v>
      </c>
      <c r="G298" s="1">
        <v>41568</v>
      </c>
      <c r="J298" t="s">
        <v>379</v>
      </c>
      <c r="M298" t="e">
        <f>VLOOKUP(A298,assignments!A:Y,3,FALSE)</f>
        <v>#N/A</v>
      </c>
    </row>
    <row r="299" spans="1:13" x14ac:dyDescent="0.25">
      <c r="A299" t="s">
        <v>380</v>
      </c>
      <c r="B299" t="s">
        <v>78</v>
      </c>
      <c r="C299" t="s">
        <v>127</v>
      </c>
      <c r="D299">
        <v>2013</v>
      </c>
      <c r="E299" t="s">
        <v>775</v>
      </c>
      <c r="F299" t="s">
        <v>180</v>
      </c>
      <c r="G299" s="1">
        <v>41568</v>
      </c>
      <c r="I299">
        <v>810</v>
      </c>
      <c r="J299" t="s">
        <v>381</v>
      </c>
      <c r="M299" t="e">
        <f>VLOOKUP(A299,assignments!A:Y,3,FALSE)</f>
        <v>#N/A</v>
      </c>
    </row>
    <row r="300" spans="1:13" x14ac:dyDescent="0.25">
      <c r="A300" t="s">
        <v>382</v>
      </c>
      <c r="B300" t="s">
        <v>78</v>
      </c>
      <c r="C300" t="s">
        <v>127</v>
      </c>
      <c r="D300">
        <v>2013</v>
      </c>
      <c r="E300" t="s">
        <v>775</v>
      </c>
      <c r="F300" t="s">
        <v>180</v>
      </c>
      <c r="G300" s="1">
        <v>41569</v>
      </c>
      <c r="I300">
        <v>980</v>
      </c>
      <c r="J300" t="s">
        <v>383</v>
      </c>
      <c r="M300" t="e">
        <f>VLOOKUP(A300,assignments!A:Y,3,FALSE)</f>
        <v>#N/A</v>
      </c>
    </row>
    <row r="301" spans="1:13" x14ac:dyDescent="0.25">
      <c r="A301" t="s">
        <v>384</v>
      </c>
      <c r="B301" t="s">
        <v>78</v>
      </c>
      <c r="C301" t="s">
        <v>127</v>
      </c>
      <c r="D301">
        <v>2013</v>
      </c>
      <c r="E301" t="s">
        <v>775</v>
      </c>
      <c r="F301" t="s">
        <v>180</v>
      </c>
      <c r="G301" s="1">
        <v>41569</v>
      </c>
      <c r="I301">
        <v>750</v>
      </c>
      <c r="J301" t="s">
        <v>385</v>
      </c>
      <c r="M301" t="e">
        <f>VLOOKUP(A301,assignments!A:Y,3,FALSE)</f>
        <v>#N/A</v>
      </c>
    </row>
    <row r="302" spans="1:13" x14ac:dyDescent="0.25">
      <c r="A302" t="s">
        <v>386</v>
      </c>
      <c r="B302" t="s">
        <v>78</v>
      </c>
      <c r="C302" t="s">
        <v>127</v>
      </c>
      <c r="D302">
        <v>2013</v>
      </c>
      <c r="E302" t="s">
        <v>775</v>
      </c>
      <c r="F302" t="s">
        <v>180</v>
      </c>
      <c r="G302" s="1">
        <v>41541</v>
      </c>
      <c r="I302">
        <v>900</v>
      </c>
      <c r="J302" t="s">
        <v>387</v>
      </c>
      <c r="M302" t="e">
        <f>VLOOKUP(A302,assignments!A:Y,3,FALSE)</f>
        <v>#N/A</v>
      </c>
    </row>
    <row r="303" spans="1:13" x14ac:dyDescent="0.25">
      <c r="A303" t="s">
        <v>388</v>
      </c>
      <c r="B303" t="s">
        <v>78</v>
      </c>
      <c r="C303" t="s">
        <v>127</v>
      </c>
      <c r="D303">
        <v>2013</v>
      </c>
      <c r="E303" t="s">
        <v>775</v>
      </c>
      <c r="F303" t="s">
        <v>180</v>
      </c>
      <c r="G303" s="1">
        <v>41568</v>
      </c>
      <c r="J303" t="s">
        <v>389</v>
      </c>
      <c r="M303" t="e">
        <f>VLOOKUP(A303,assignments!A:Y,3,FALSE)</f>
        <v>#N/A</v>
      </c>
    </row>
    <row r="304" spans="1:13" x14ac:dyDescent="0.25">
      <c r="A304" t="s">
        <v>390</v>
      </c>
      <c r="B304" t="s">
        <v>78</v>
      </c>
      <c r="C304" t="s">
        <v>127</v>
      </c>
      <c r="D304">
        <v>2013</v>
      </c>
      <c r="E304" t="s">
        <v>775</v>
      </c>
      <c r="F304" t="s">
        <v>180</v>
      </c>
      <c r="G304" s="1">
        <v>41570</v>
      </c>
      <c r="I304">
        <v>720</v>
      </c>
      <c r="J304" t="s">
        <v>391</v>
      </c>
      <c r="M304" t="e">
        <f>VLOOKUP(A304,assignments!A:Y,3,FALSE)</f>
        <v>#N/A</v>
      </c>
    </row>
    <row r="305" spans="1:13" x14ac:dyDescent="0.25">
      <c r="A305" t="s">
        <v>392</v>
      </c>
      <c r="B305" t="s">
        <v>78</v>
      </c>
      <c r="C305" t="s">
        <v>127</v>
      </c>
      <c r="D305">
        <v>2013</v>
      </c>
      <c r="E305" t="s">
        <v>775</v>
      </c>
      <c r="F305" t="s">
        <v>180</v>
      </c>
      <c r="G305" s="1">
        <v>41570</v>
      </c>
      <c r="J305" t="s">
        <v>393</v>
      </c>
      <c r="M305" t="e">
        <f>VLOOKUP(A305,assignments!A:Y,3,FALSE)</f>
        <v>#N/A</v>
      </c>
    </row>
    <row r="306" spans="1:13" x14ac:dyDescent="0.25">
      <c r="A306" t="s">
        <v>394</v>
      </c>
      <c r="B306" t="s">
        <v>78</v>
      </c>
      <c r="C306" t="s">
        <v>127</v>
      </c>
      <c r="D306">
        <v>2013</v>
      </c>
      <c r="E306" t="s">
        <v>775</v>
      </c>
      <c r="F306" t="s">
        <v>180</v>
      </c>
      <c r="G306" s="1">
        <v>41571</v>
      </c>
      <c r="J306" t="s">
        <v>395</v>
      </c>
      <c r="M306" t="e">
        <f>VLOOKUP(A306,assignments!A:Y,3,FALSE)</f>
        <v>#N/A</v>
      </c>
    </row>
    <row r="307" spans="1:13" x14ac:dyDescent="0.25">
      <c r="A307" t="s">
        <v>396</v>
      </c>
      <c r="B307" t="s">
        <v>78</v>
      </c>
      <c r="C307" t="s">
        <v>127</v>
      </c>
      <c r="D307">
        <v>2013</v>
      </c>
      <c r="E307" t="s">
        <v>775</v>
      </c>
      <c r="F307" t="s">
        <v>180</v>
      </c>
      <c r="G307" s="1">
        <v>41463</v>
      </c>
      <c r="I307">
        <v>790</v>
      </c>
      <c r="J307" t="s">
        <v>397</v>
      </c>
      <c r="M307" t="e">
        <f>VLOOKUP(A307,assignments!A:Y,3,FALSE)</f>
        <v>#N/A</v>
      </c>
    </row>
    <row r="308" spans="1:13" x14ac:dyDescent="0.25">
      <c r="A308" t="s">
        <v>398</v>
      </c>
      <c r="B308" t="s">
        <v>78</v>
      </c>
      <c r="C308" t="s">
        <v>127</v>
      </c>
      <c r="D308">
        <v>2013</v>
      </c>
      <c r="E308" t="s">
        <v>775</v>
      </c>
      <c r="F308" t="s">
        <v>180</v>
      </c>
      <c r="G308" s="1">
        <v>41463</v>
      </c>
      <c r="I308">
        <v>790</v>
      </c>
      <c r="J308" t="s">
        <v>399</v>
      </c>
      <c r="M308" t="e">
        <f>VLOOKUP(A308,assignments!A:Y,3,FALSE)</f>
        <v>#N/A</v>
      </c>
    </row>
    <row r="309" spans="1:13" x14ac:dyDescent="0.25">
      <c r="A309" t="s">
        <v>400</v>
      </c>
      <c r="B309" t="s">
        <v>78</v>
      </c>
      <c r="C309" t="s">
        <v>127</v>
      </c>
      <c r="D309">
        <v>2014</v>
      </c>
      <c r="E309" t="s">
        <v>775</v>
      </c>
      <c r="F309" t="s">
        <v>180</v>
      </c>
      <c r="G309" s="1">
        <v>41919</v>
      </c>
      <c r="J309" t="s">
        <v>401</v>
      </c>
      <c r="M309" t="e">
        <f>VLOOKUP(A309,assignments!A:Y,3,FALSE)</f>
        <v>#N/A</v>
      </c>
    </row>
    <row r="310" spans="1:13" x14ac:dyDescent="0.25">
      <c r="A310" t="s">
        <v>532</v>
      </c>
      <c r="B310" t="s">
        <v>78</v>
      </c>
      <c r="C310" t="s">
        <v>127</v>
      </c>
      <c r="D310">
        <v>2014</v>
      </c>
      <c r="E310" t="s">
        <v>775</v>
      </c>
      <c r="F310" t="s">
        <v>180</v>
      </c>
      <c r="G310" s="1">
        <v>41919</v>
      </c>
      <c r="J310" t="s">
        <v>533</v>
      </c>
      <c r="M310" t="str">
        <f>VLOOKUP(A310,assignments!A:Y,3,FALSE)</f>
        <v>DEE</v>
      </c>
    </row>
    <row r="311" spans="1:13" hidden="1" x14ac:dyDescent="0.25">
      <c r="A311" t="s">
        <v>534</v>
      </c>
      <c r="B311" t="s">
        <v>78</v>
      </c>
      <c r="C311" t="s">
        <v>127</v>
      </c>
      <c r="D311">
        <v>2014</v>
      </c>
      <c r="E311" t="s">
        <v>775</v>
      </c>
      <c r="F311" t="s">
        <v>180</v>
      </c>
      <c r="G311" s="1">
        <v>41919</v>
      </c>
      <c r="J311" t="s">
        <v>535</v>
      </c>
      <c r="K311" t="s">
        <v>778</v>
      </c>
      <c r="M311" t="str">
        <f>VLOOKUP(A311,assignments!A:Y,3,FALSE)</f>
        <v>FRH</v>
      </c>
    </row>
    <row r="312" spans="1:13" x14ac:dyDescent="0.25">
      <c r="A312" t="s">
        <v>536</v>
      </c>
      <c r="B312" t="s">
        <v>78</v>
      </c>
      <c r="C312" t="s">
        <v>127</v>
      </c>
      <c r="D312">
        <v>2014</v>
      </c>
      <c r="E312" t="s">
        <v>775</v>
      </c>
      <c r="F312" t="s">
        <v>180</v>
      </c>
      <c r="G312" s="1">
        <v>41919</v>
      </c>
      <c r="J312" t="s">
        <v>537</v>
      </c>
      <c r="M312" t="str">
        <f>VLOOKUP(A312,assignments!A:Y,3,FALSE)</f>
        <v>Unknown</v>
      </c>
    </row>
    <row r="313" spans="1:13" x14ac:dyDescent="0.25">
      <c r="A313" t="s">
        <v>538</v>
      </c>
      <c r="B313" t="s">
        <v>78</v>
      </c>
      <c r="C313" t="s">
        <v>127</v>
      </c>
      <c r="D313">
        <v>2014</v>
      </c>
      <c r="E313" t="s">
        <v>775</v>
      </c>
      <c r="F313" t="s">
        <v>180</v>
      </c>
      <c r="G313" s="1">
        <v>41919</v>
      </c>
      <c r="J313" t="s">
        <v>539</v>
      </c>
      <c r="M313" t="str">
        <f>VLOOKUP(A313,assignments!A:Y,3,FALSE)</f>
        <v>CNH</v>
      </c>
    </row>
    <row r="314" spans="1:13" x14ac:dyDescent="0.25">
      <c r="A314" t="s">
        <v>540</v>
      </c>
      <c r="B314" t="s">
        <v>78</v>
      </c>
      <c r="C314" t="s">
        <v>127</v>
      </c>
      <c r="D314">
        <v>2014</v>
      </c>
      <c r="E314" t="s">
        <v>775</v>
      </c>
      <c r="F314" t="s">
        <v>180</v>
      </c>
      <c r="G314" s="1">
        <v>41919</v>
      </c>
      <c r="J314" t="s">
        <v>541</v>
      </c>
      <c r="M314" t="str">
        <f>VLOOKUP(A314,assignments!A:Y,3,FALSE)</f>
        <v>CNH</v>
      </c>
    </row>
    <row r="315" spans="1:13" x14ac:dyDescent="0.25">
      <c r="A315" t="s">
        <v>542</v>
      </c>
      <c r="B315" t="s">
        <v>78</v>
      </c>
      <c r="C315" t="s">
        <v>127</v>
      </c>
      <c r="D315">
        <v>2014</v>
      </c>
      <c r="E315" t="s">
        <v>775</v>
      </c>
      <c r="F315" t="s">
        <v>180</v>
      </c>
      <c r="G315" s="1">
        <v>41932</v>
      </c>
      <c r="J315" t="s">
        <v>543</v>
      </c>
      <c r="M315" t="str">
        <f>VLOOKUP(A315,assignments!A:Y,3,FALSE)</f>
        <v>DEE</v>
      </c>
    </row>
    <row r="316" spans="1:13" x14ac:dyDescent="0.25">
      <c r="A316" t="s">
        <v>544</v>
      </c>
      <c r="B316" t="s">
        <v>78</v>
      </c>
      <c r="C316" t="s">
        <v>127</v>
      </c>
      <c r="D316">
        <v>2014</v>
      </c>
      <c r="E316" t="s">
        <v>775</v>
      </c>
      <c r="F316" t="s">
        <v>180</v>
      </c>
      <c r="G316" s="1">
        <v>41932</v>
      </c>
      <c r="J316" t="s">
        <v>545</v>
      </c>
      <c r="M316" t="str">
        <f>VLOOKUP(A316,assignments!A:Y,3,FALSE)</f>
        <v>DEE</v>
      </c>
    </row>
    <row r="317" spans="1:13" x14ac:dyDescent="0.25">
      <c r="A317" t="s">
        <v>546</v>
      </c>
      <c r="B317" t="s">
        <v>78</v>
      </c>
      <c r="C317" t="s">
        <v>127</v>
      </c>
      <c r="D317">
        <v>2014</v>
      </c>
      <c r="E317" t="s">
        <v>775</v>
      </c>
      <c r="F317" t="s">
        <v>180</v>
      </c>
      <c r="G317" s="1">
        <v>41932</v>
      </c>
      <c r="J317" t="s">
        <v>547</v>
      </c>
      <c r="M317" t="str">
        <f>VLOOKUP(A317,assignments!A:Y,3,FALSE)</f>
        <v>MIL</v>
      </c>
    </row>
    <row r="318" spans="1:13" x14ac:dyDescent="0.25">
      <c r="A318" t="s">
        <v>548</v>
      </c>
      <c r="B318" t="s">
        <v>78</v>
      </c>
      <c r="C318" t="s">
        <v>127</v>
      </c>
      <c r="D318">
        <v>2014</v>
      </c>
      <c r="E318" t="s">
        <v>775</v>
      </c>
      <c r="F318" t="s">
        <v>180</v>
      </c>
      <c r="G318" s="1">
        <v>41932</v>
      </c>
      <c r="J318" t="s">
        <v>549</v>
      </c>
      <c r="M318" t="str">
        <f>VLOOKUP(A318,assignments!A:Y,3,FALSE)</f>
        <v>Unknown</v>
      </c>
    </row>
    <row r="319" spans="1:13" hidden="1" x14ac:dyDescent="0.25">
      <c r="A319" t="s">
        <v>550</v>
      </c>
      <c r="B319" t="s">
        <v>78</v>
      </c>
      <c r="C319" t="s">
        <v>127</v>
      </c>
      <c r="D319">
        <v>2014</v>
      </c>
      <c r="E319" t="s">
        <v>775</v>
      </c>
      <c r="F319" t="s">
        <v>180</v>
      </c>
      <c r="G319" s="1">
        <v>41932</v>
      </c>
      <c r="J319" t="s">
        <v>551</v>
      </c>
      <c r="K319" t="s">
        <v>778</v>
      </c>
      <c r="M319" t="str">
        <f>VLOOKUP(A319,assignments!A:Y,3,FALSE)</f>
        <v>FRH</v>
      </c>
    </row>
    <row r="320" spans="1:13" x14ac:dyDescent="0.25">
      <c r="A320" t="s">
        <v>552</v>
      </c>
      <c r="B320" t="s">
        <v>78</v>
      </c>
      <c r="C320" t="s">
        <v>127</v>
      </c>
      <c r="D320">
        <v>2014</v>
      </c>
      <c r="E320" t="s">
        <v>775</v>
      </c>
      <c r="F320" t="s">
        <v>180</v>
      </c>
      <c r="G320" s="1">
        <v>41919</v>
      </c>
      <c r="J320" t="s">
        <v>553</v>
      </c>
      <c r="M320" t="str">
        <f>VLOOKUP(A320,assignments!A:Y,3,FALSE)</f>
        <v>MIL</v>
      </c>
    </row>
    <row r="321" spans="1:13" x14ac:dyDescent="0.25">
      <c r="A321" t="s">
        <v>554</v>
      </c>
      <c r="B321" t="s">
        <v>78</v>
      </c>
      <c r="C321" t="s">
        <v>127</v>
      </c>
      <c r="D321">
        <v>2014</v>
      </c>
      <c r="E321" t="s">
        <v>775</v>
      </c>
      <c r="F321" t="s">
        <v>180</v>
      </c>
      <c r="G321" s="1">
        <v>41919</v>
      </c>
      <c r="J321" t="s">
        <v>555</v>
      </c>
      <c r="M321" t="str">
        <f>VLOOKUP(A321,assignments!A:Y,3,FALSE)</f>
        <v>BAT</v>
      </c>
    </row>
    <row r="322" spans="1:13" x14ac:dyDescent="0.25">
      <c r="A322" t="s">
        <v>556</v>
      </c>
      <c r="B322" t="s">
        <v>78</v>
      </c>
      <c r="C322" t="s">
        <v>127</v>
      </c>
      <c r="D322">
        <v>2014</v>
      </c>
      <c r="E322" t="s">
        <v>775</v>
      </c>
      <c r="F322" t="s">
        <v>180</v>
      </c>
      <c r="G322" s="1">
        <v>41919</v>
      </c>
      <c r="J322" t="s">
        <v>557</v>
      </c>
      <c r="M322" t="str">
        <f>VLOOKUP(A322,assignments!A:Y,3,FALSE)</f>
        <v>BUT</v>
      </c>
    </row>
    <row r="323" spans="1:13" x14ac:dyDescent="0.25">
      <c r="A323" t="s">
        <v>558</v>
      </c>
      <c r="B323" t="s">
        <v>78</v>
      </c>
      <c r="C323" t="s">
        <v>127</v>
      </c>
      <c r="D323">
        <v>2014</v>
      </c>
      <c r="E323" t="s">
        <v>775</v>
      </c>
      <c r="F323" t="s">
        <v>180</v>
      </c>
      <c r="G323" s="1">
        <v>41932</v>
      </c>
      <c r="J323" t="s">
        <v>559</v>
      </c>
      <c r="M323" t="str">
        <f>VLOOKUP(A323,assignments!A:Y,3,FALSE)</f>
        <v>BAT</v>
      </c>
    </row>
    <row r="324" spans="1:13" x14ac:dyDescent="0.25">
      <c r="A324" t="s">
        <v>560</v>
      </c>
      <c r="B324" t="s">
        <v>78</v>
      </c>
      <c r="C324" t="s">
        <v>127</v>
      </c>
      <c r="D324">
        <v>2014</v>
      </c>
      <c r="E324" t="s">
        <v>775</v>
      </c>
      <c r="F324" t="s">
        <v>180</v>
      </c>
      <c r="G324" s="1">
        <v>41932</v>
      </c>
      <c r="J324" t="s">
        <v>561</v>
      </c>
      <c r="M324" t="str">
        <f>VLOOKUP(A324,assignments!A:Y,3,FALSE)</f>
        <v>BUT</v>
      </c>
    </row>
    <row r="325" spans="1:13" x14ac:dyDescent="0.25">
      <c r="A325" t="s">
        <v>562</v>
      </c>
      <c r="B325" t="s">
        <v>78</v>
      </c>
      <c r="C325" t="s">
        <v>127</v>
      </c>
      <c r="D325">
        <v>2014</v>
      </c>
      <c r="E325" t="s">
        <v>775</v>
      </c>
      <c r="F325" t="s">
        <v>180</v>
      </c>
      <c r="G325" s="1">
        <v>41932</v>
      </c>
      <c r="J325" t="s">
        <v>563</v>
      </c>
      <c r="M325" t="str">
        <f>VLOOKUP(A325,assignments!A:Y,3,FALSE)</f>
        <v>BAT</v>
      </c>
    </row>
    <row r="326" spans="1:13" x14ac:dyDescent="0.25">
      <c r="A326" t="s">
        <v>564</v>
      </c>
      <c r="B326" t="s">
        <v>78</v>
      </c>
      <c r="C326" t="s">
        <v>127</v>
      </c>
      <c r="D326">
        <v>2014</v>
      </c>
      <c r="E326" t="s">
        <v>775</v>
      </c>
      <c r="F326" t="s">
        <v>180</v>
      </c>
      <c r="G326" s="1">
        <v>41932</v>
      </c>
      <c r="J326" t="s">
        <v>565</v>
      </c>
      <c r="M326" t="str">
        <f>VLOOKUP(A326,assignments!A:Y,3,FALSE)</f>
        <v>Unknown</v>
      </c>
    </row>
    <row r="327" spans="1:13" x14ac:dyDescent="0.25">
      <c r="A327" t="s">
        <v>566</v>
      </c>
      <c r="B327" t="s">
        <v>78</v>
      </c>
      <c r="C327" t="s">
        <v>127</v>
      </c>
      <c r="D327">
        <v>2014</v>
      </c>
      <c r="E327" t="s">
        <v>775</v>
      </c>
      <c r="F327" t="s">
        <v>180</v>
      </c>
      <c r="G327" s="1">
        <v>41932</v>
      </c>
      <c r="J327" t="s">
        <v>567</v>
      </c>
      <c r="M327" t="e">
        <f>VLOOKUP(A327,assignments!A:Y,3,FALSE)</f>
        <v>#N/A</v>
      </c>
    </row>
    <row r="328" spans="1:13" x14ac:dyDescent="0.25">
      <c r="A328" t="s">
        <v>568</v>
      </c>
      <c r="B328" t="s">
        <v>78</v>
      </c>
      <c r="C328" t="s">
        <v>127</v>
      </c>
      <c r="D328">
        <v>2015</v>
      </c>
      <c r="E328" t="s">
        <v>775</v>
      </c>
      <c r="F328" t="s">
        <v>180</v>
      </c>
      <c r="G328" s="1">
        <v>42299</v>
      </c>
      <c r="I328">
        <v>839</v>
      </c>
      <c r="J328" t="s">
        <v>569</v>
      </c>
      <c r="M328" t="str">
        <f>VLOOKUP(A328,assignments!A:Y,3,FALSE)</f>
        <v>CNH</v>
      </c>
    </row>
    <row r="329" spans="1:13" x14ac:dyDescent="0.25">
      <c r="A329" t="s">
        <v>570</v>
      </c>
      <c r="B329" t="s">
        <v>78</v>
      </c>
      <c r="C329" t="s">
        <v>127</v>
      </c>
      <c r="D329">
        <v>2015</v>
      </c>
      <c r="E329" t="s">
        <v>775</v>
      </c>
      <c r="F329" t="s">
        <v>180</v>
      </c>
      <c r="G329" s="1">
        <v>42212</v>
      </c>
      <c r="I329">
        <v>940</v>
      </c>
      <c r="J329" t="s">
        <v>571</v>
      </c>
      <c r="M329" t="str">
        <f>VLOOKUP(A329,assignments!A:Y,3,FALSE)</f>
        <v>BAT</v>
      </c>
    </row>
    <row r="330" spans="1:13" x14ac:dyDescent="0.25">
      <c r="A330" t="s">
        <v>572</v>
      </c>
      <c r="B330" t="s">
        <v>78</v>
      </c>
      <c r="C330" t="s">
        <v>127</v>
      </c>
      <c r="D330">
        <v>2015</v>
      </c>
      <c r="E330" t="s">
        <v>775</v>
      </c>
      <c r="F330" t="s">
        <v>180</v>
      </c>
      <c r="G330" s="1">
        <v>42284</v>
      </c>
      <c r="I330">
        <v>820</v>
      </c>
      <c r="J330" t="s">
        <v>573</v>
      </c>
      <c r="M330" t="str">
        <f>VLOOKUP(A330,assignments!A:Y,3,FALSE)</f>
        <v>BAT</v>
      </c>
    </row>
    <row r="331" spans="1:13" x14ac:dyDescent="0.25">
      <c r="A331" t="s">
        <v>304</v>
      </c>
      <c r="B331" t="s">
        <v>78</v>
      </c>
      <c r="C331" t="s">
        <v>127</v>
      </c>
      <c r="D331">
        <v>2016</v>
      </c>
      <c r="E331" t="s">
        <v>775</v>
      </c>
      <c r="F331" t="s">
        <v>180</v>
      </c>
      <c r="G331" s="1">
        <v>42647</v>
      </c>
      <c r="J331" t="s">
        <v>305</v>
      </c>
      <c r="M331" t="str">
        <f>VLOOKUP(A331,assignments!A:Y,3,FALSE)</f>
        <v>MIL</v>
      </c>
    </row>
    <row r="332" spans="1:13" hidden="1" x14ac:dyDescent="0.25">
      <c r="A332" t="s">
        <v>306</v>
      </c>
      <c r="B332" t="s">
        <v>78</v>
      </c>
      <c r="C332" t="s">
        <v>127</v>
      </c>
      <c r="D332">
        <v>2018</v>
      </c>
      <c r="E332" t="s">
        <v>775</v>
      </c>
      <c r="F332" t="s">
        <v>180</v>
      </c>
      <c r="G332" s="1">
        <v>43374</v>
      </c>
      <c r="I332">
        <v>710</v>
      </c>
      <c r="J332" t="s">
        <v>307</v>
      </c>
      <c r="K332" t="s">
        <v>778</v>
      </c>
      <c r="M332" t="str">
        <f>VLOOKUP(A332,assignments!A:Y,3,FALSE)</f>
        <v>NIH</v>
      </c>
    </row>
    <row r="333" spans="1:13" x14ac:dyDescent="0.25">
      <c r="A333" t="s">
        <v>308</v>
      </c>
      <c r="B333" t="s">
        <v>78</v>
      </c>
      <c r="C333" t="s">
        <v>127</v>
      </c>
      <c r="D333">
        <v>2018</v>
      </c>
      <c r="E333" t="s">
        <v>775</v>
      </c>
      <c r="F333" t="s">
        <v>180</v>
      </c>
      <c r="G333" s="1">
        <v>43388</v>
      </c>
      <c r="I333">
        <v>825</v>
      </c>
      <c r="J333" t="s">
        <v>309</v>
      </c>
      <c r="M333" t="str">
        <f>VLOOKUP(A333,assignments!A:Y,3,FALSE)</f>
        <v>BAT</v>
      </c>
    </row>
    <row r="334" spans="1:13" x14ac:dyDescent="0.25">
      <c r="A334" t="s">
        <v>310</v>
      </c>
      <c r="B334" t="s">
        <v>78</v>
      </c>
      <c r="C334" t="s">
        <v>127</v>
      </c>
      <c r="D334">
        <v>2018</v>
      </c>
      <c r="E334" t="s">
        <v>775</v>
      </c>
      <c r="F334" t="s">
        <v>180</v>
      </c>
      <c r="G334" s="1">
        <v>43390</v>
      </c>
      <c r="J334" t="s">
        <v>311</v>
      </c>
      <c r="M334" t="str">
        <f>VLOOKUP(A334,assignments!A:Y,3,FALSE)</f>
        <v>BAT</v>
      </c>
    </row>
    <row r="335" spans="1:13" x14ac:dyDescent="0.25">
      <c r="A335" t="s">
        <v>312</v>
      </c>
      <c r="B335" t="s">
        <v>78</v>
      </c>
      <c r="C335" t="s">
        <v>127</v>
      </c>
      <c r="D335">
        <v>2018</v>
      </c>
      <c r="E335" t="s">
        <v>775</v>
      </c>
      <c r="F335" t="s">
        <v>180</v>
      </c>
      <c r="G335" s="1">
        <v>43390</v>
      </c>
      <c r="I335">
        <v>900</v>
      </c>
      <c r="J335" t="s">
        <v>313</v>
      </c>
      <c r="M335" t="str">
        <f>VLOOKUP(A335,assignments!A:Y,3,FALSE)</f>
        <v>BAT</v>
      </c>
    </row>
    <row r="336" spans="1:13" x14ac:dyDescent="0.25">
      <c r="A336" t="s">
        <v>314</v>
      </c>
      <c r="B336" t="s">
        <v>78</v>
      </c>
      <c r="C336" t="s">
        <v>127</v>
      </c>
      <c r="D336">
        <v>2019</v>
      </c>
      <c r="E336" t="s">
        <v>775</v>
      </c>
      <c r="F336" t="s">
        <v>180</v>
      </c>
      <c r="G336" s="1">
        <v>43739</v>
      </c>
      <c r="I336">
        <v>625</v>
      </c>
      <c r="J336" t="s">
        <v>315</v>
      </c>
      <c r="M336" t="str">
        <f>VLOOKUP(A336,assignments!A:Y,3,FALSE)</f>
        <v>CNH</v>
      </c>
    </row>
    <row r="337" spans="1:13" x14ac:dyDescent="0.25">
      <c r="A337" t="s">
        <v>316</v>
      </c>
      <c r="B337" t="s">
        <v>78</v>
      </c>
      <c r="C337" t="s">
        <v>127</v>
      </c>
      <c r="D337">
        <v>2019</v>
      </c>
      <c r="E337" t="s">
        <v>775</v>
      </c>
      <c r="F337" t="s">
        <v>180</v>
      </c>
      <c r="G337" s="1">
        <v>43739</v>
      </c>
      <c r="I337">
        <v>820</v>
      </c>
      <c r="J337" t="s">
        <v>317</v>
      </c>
      <c r="M337" t="str">
        <f>VLOOKUP(A337,assignments!A:Y,3,FALSE)</f>
        <v>CNH</v>
      </c>
    </row>
    <row r="338" spans="1:13" x14ac:dyDescent="0.25">
      <c r="A338" t="s">
        <v>318</v>
      </c>
      <c r="B338" t="s">
        <v>78</v>
      </c>
      <c r="C338" t="s">
        <v>127</v>
      </c>
      <c r="D338">
        <v>2020</v>
      </c>
      <c r="E338" t="s">
        <v>775</v>
      </c>
      <c r="F338" t="s">
        <v>180</v>
      </c>
      <c r="G338" s="1">
        <v>44111</v>
      </c>
      <c r="I338">
        <v>460</v>
      </c>
      <c r="J338" t="s">
        <v>319</v>
      </c>
      <c r="M338" t="str">
        <f>VLOOKUP(A338,assignments!A:Y,3,FALSE)</f>
        <v>BUT</v>
      </c>
    </row>
    <row r="339" spans="1:13" x14ac:dyDescent="0.25">
      <c r="A339" t="s">
        <v>320</v>
      </c>
      <c r="B339" t="s">
        <v>78</v>
      </c>
      <c r="C339" t="s">
        <v>127</v>
      </c>
      <c r="D339">
        <v>2021</v>
      </c>
      <c r="E339" t="s">
        <v>775</v>
      </c>
      <c r="F339" t="s">
        <v>180</v>
      </c>
      <c r="G339" s="1">
        <v>44358</v>
      </c>
      <c r="I339">
        <v>750</v>
      </c>
      <c r="J339" t="s">
        <v>321</v>
      </c>
      <c r="M339" t="str">
        <f>VLOOKUP(A339,assignments!A:Y,3,FALSE)</f>
        <v>SAC</v>
      </c>
    </row>
    <row r="340" spans="1:13" x14ac:dyDescent="0.25">
      <c r="A340" t="s">
        <v>322</v>
      </c>
      <c r="B340" t="s">
        <v>78</v>
      </c>
      <c r="C340" t="s">
        <v>127</v>
      </c>
      <c r="D340">
        <v>2021</v>
      </c>
      <c r="E340" t="s">
        <v>775</v>
      </c>
      <c r="F340" t="s">
        <v>180</v>
      </c>
      <c r="G340" s="1">
        <v>44358</v>
      </c>
      <c r="I340">
        <v>860</v>
      </c>
      <c r="J340" t="s">
        <v>323</v>
      </c>
      <c r="M340" t="str">
        <f>VLOOKUP(A340,assignments!A:Y,3,FALSE)</f>
        <v>CNH</v>
      </c>
    </row>
    <row r="341" spans="1:13" x14ac:dyDescent="0.25">
      <c r="A341" t="s">
        <v>324</v>
      </c>
      <c r="B341" t="s">
        <v>78</v>
      </c>
      <c r="C341" t="s">
        <v>127</v>
      </c>
      <c r="D341">
        <v>2021</v>
      </c>
      <c r="E341" t="s">
        <v>775</v>
      </c>
      <c r="F341" t="s">
        <v>180</v>
      </c>
      <c r="G341" s="1">
        <v>44358</v>
      </c>
      <c r="I341">
        <v>740</v>
      </c>
      <c r="J341" t="s">
        <v>325</v>
      </c>
      <c r="M341" t="str">
        <f>VLOOKUP(A341,assignments!A:Y,3,FALSE)</f>
        <v>Unknown</v>
      </c>
    </row>
    <row r="342" spans="1:13" x14ac:dyDescent="0.25">
      <c r="A342" t="s">
        <v>326</v>
      </c>
      <c r="B342" t="s">
        <v>78</v>
      </c>
      <c r="C342" t="s">
        <v>127</v>
      </c>
      <c r="D342">
        <v>2021</v>
      </c>
      <c r="E342" t="s">
        <v>775</v>
      </c>
      <c r="F342" t="s">
        <v>180</v>
      </c>
      <c r="G342" s="1">
        <v>44363</v>
      </c>
      <c r="I342">
        <v>820</v>
      </c>
      <c r="J342" t="s">
        <v>327</v>
      </c>
      <c r="M342" t="str">
        <f>VLOOKUP(A342,assignments!A:Y,3,FALSE)</f>
        <v>SAC</v>
      </c>
    </row>
    <row r="343" spans="1:13" x14ac:dyDescent="0.25">
      <c r="A343" t="s">
        <v>328</v>
      </c>
      <c r="B343" t="s">
        <v>78</v>
      </c>
      <c r="C343" t="s">
        <v>127</v>
      </c>
      <c r="D343">
        <v>2021</v>
      </c>
      <c r="E343" t="s">
        <v>775</v>
      </c>
      <c r="F343" t="s">
        <v>180</v>
      </c>
      <c r="G343" s="1">
        <v>44365</v>
      </c>
      <c r="I343">
        <v>780</v>
      </c>
      <c r="J343" t="s">
        <v>329</v>
      </c>
      <c r="M343" t="str">
        <f>VLOOKUP(A343,assignments!A:Y,3,FALSE)</f>
        <v>BUT</v>
      </c>
    </row>
    <row r="344" spans="1:13" x14ac:dyDescent="0.25">
      <c r="A344" t="s">
        <v>330</v>
      </c>
      <c r="B344" t="s">
        <v>78</v>
      </c>
      <c r="C344" t="s">
        <v>127</v>
      </c>
      <c r="D344">
        <v>2021</v>
      </c>
      <c r="E344" t="s">
        <v>775</v>
      </c>
      <c r="F344" t="s">
        <v>180</v>
      </c>
      <c r="G344" s="1">
        <v>44365</v>
      </c>
      <c r="I344">
        <v>760</v>
      </c>
      <c r="J344" t="s">
        <v>331</v>
      </c>
      <c r="M344" t="str">
        <f>VLOOKUP(A344,assignments!A:Y,3,FALSE)</f>
        <v>BUT</v>
      </c>
    </row>
    <row r="345" spans="1:13" x14ac:dyDescent="0.25">
      <c r="A345" t="s">
        <v>332</v>
      </c>
      <c r="B345" t="s">
        <v>78</v>
      </c>
      <c r="C345" t="s">
        <v>127</v>
      </c>
      <c r="D345">
        <v>2021</v>
      </c>
      <c r="E345" t="s">
        <v>775</v>
      </c>
      <c r="F345" t="s">
        <v>180</v>
      </c>
      <c r="G345" s="1">
        <v>44368</v>
      </c>
      <c r="I345">
        <v>910</v>
      </c>
      <c r="J345" t="s">
        <v>333</v>
      </c>
      <c r="M345" t="str">
        <f>VLOOKUP(A345,assignments!A:Y,3,FALSE)</f>
        <v>CNH</v>
      </c>
    </row>
    <row r="346" spans="1:13" x14ac:dyDescent="0.25">
      <c r="A346" t="s">
        <v>334</v>
      </c>
      <c r="B346" t="s">
        <v>78</v>
      </c>
      <c r="C346" t="s">
        <v>127</v>
      </c>
      <c r="D346">
        <v>2021</v>
      </c>
      <c r="E346" t="s">
        <v>775</v>
      </c>
      <c r="F346" t="s">
        <v>180</v>
      </c>
      <c r="G346" s="1">
        <v>44368</v>
      </c>
      <c r="I346">
        <v>720</v>
      </c>
      <c r="J346" t="s">
        <v>335</v>
      </c>
      <c r="M346" t="str">
        <f>VLOOKUP(A346,assignments!A:Y,3,FALSE)</f>
        <v>BUT</v>
      </c>
    </row>
    <row r="347" spans="1:13" x14ac:dyDescent="0.25">
      <c r="A347" t="s">
        <v>336</v>
      </c>
      <c r="B347" t="s">
        <v>78</v>
      </c>
      <c r="C347" t="s">
        <v>127</v>
      </c>
      <c r="D347">
        <v>2021</v>
      </c>
      <c r="E347" t="s">
        <v>775</v>
      </c>
      <c r="F347" t="s">
        <v>180</v>
      </c>
      <c r="G347" s="1">
        <v>44368</v>
      </c>
      <c r="I347">
        <v>690</v>
      </c>
      <c r="J347" t="s">
        <v>337</v>
      </c>
      <c r="M347" t="str">
        <f>VLOOKUP(A347,assignments!A:Y,3,FALSE)</f>
        <v>CNH</v>
      </c>
    </row>
    <row r="348" spans="1:13" x14ac:dyDescent="0.25">
      <c r="A348" t="s">
        <v>338</v>
      </c>
      <c r="B348" t="s">
        <v>78</v>
      </c>
      <c r="C348" t="s">
        <v>127</v>
      </c>
      <c r="D348">
        <v>2021</v>
      </c>
      <c r="E348" t="s">
        <v>775</v>
      </c>
      <c r="F348" t="s">
        <v>180</v>
      </c>
      <c r="G348" s="1">
        <v>44375</v>
      </c>
      <c r="I348">
        <v>660</v>
      </c>
      <c r="J348" t="s">
        <v>339</v>
      </c>
      <c r="M348" t="str">
        <f>VLOOKUP(A348,assignments!A:Y,3,FALSE)</f>
        <v>CNH</v>
      </c>
    </row>
    <row r="349" spans="1:13" x14ac:dyDescent="0.25">
      <c r="A349" t="s">
        <v>340</v>
      </c>
      <c r="B349" t="s">
        <v>78</v>
      </c>
      <c r="C349" t="s">
        <v>127</v>
      </c>
      <c r="D349">
        <v>2021</v>
      </c>
      <c r="E349" t="s">
        <v>775</v>
      </c>
      <c r="F349" t="s">
        <v>180</v>
      </c>
      <c r="G349" s="1">
        <v>44375</v>
      </c>
      <c r="I349">
        <v>560</v>
      </c>
      <c r="J349" t="s">
        <v>341</v>
      </c>
      <c r="M349" t="str">
        <f>VLOOKUP(A349,assignments!A:Y,3,FALSE)</f>
        <v>CNH</v>
      </c>
    </row>
    <row r="350" spans="1:13" x14ac:dyDescent="0.25">
      <c r="A350" t="s">
        <v>342</v>
      </c>
      <c r="B350" t="s">
        <v>78</v>
      </c>
      <c r="C350" t="s">
        <v>127</v>
      </c>
      <c r="D350">
        <v>2021</v>
      </c>
      <c r="E350" t="s">
        <v>775</v>
      </c>
      <c r="F350" t="s">
        <v>180</v>
      </c>
      <c r="G350" s="1">
        <v>44489</v>
      </c>
      <c r="I350">
        <v>840</v>
      </c>
      <c r="J350" t="s">
        <v>343</v>
      </c>
      <c r="M350" t="str">
        <f>VLOOKUP(A350,assignments!A:Y,3,FALSE)</f>
        <v>BAT</v>
      </c>
    </row>
    <row r="351" spans="1:13" x14ac:dyDescent="0.25">
      <c r="A351" t="s">
        <v>344</v>
      </c>
      <c r="B351" t="s">
        <v>78</v>
      </c>
      <c r="C351" t="s">
        <v>127</v>
      </c>
      <c r="D351">
        <v>2021</v>
      </c>
      <c r="E351" t="s">
        <v>775</v>
      </c>
      <c r="F351" t="s">
        <v>180</v>
      </c>
      <c r="G351" s="1">
        <v>44502</v>
      </c>
      <c r="J351" t="s">
        <v>345</v>
      </c>
      <c r="M351" t="str">
        <f>VLOOKUP(A351,assignments!A:Y,3,FALSE)</f>
        <v>MIL</v>
      </c>
    </row>
    <row r="352" spans="1:13" x14ac:dyDescent="0.25">
      <c r="A352" t="s">
        <v>346</v>
      </c>
      <c r="B352" t="s">
        <v>78</v>
      </c>
      <c r="C352" t="s">
        <v>127</v>
      </c>
      <c r="D352">
        <v>2021</v>
      </c>
      <c r="E352" t="s">
        <v>775</v>
      </c>
      <c r="F352" t="s">
        <v>180</v>
      </c>
      <c r="G352" s="1">
        <v>44370</v>
      </c>
      <c r="I352">
        <v>800</v>
      </c>
      <c r="J352" t="s">
        <v>347</v>
      </c>
      <c r="M352" t="str">
        <f>VLOOKUP(A352,assignments!A:Y,3,FALSE)</f>
        <v>CNH</v>
      </c>
    </row>
    <row r="353" spans="1:13" x14ac:dyDescent="0.25">
      <c r="A353" t="s">
        <v>348</v>
      </c>
      <c r="B353" t="s">
        <v>78</v>
      </c>
      <c r="C353" t="s">
        <v>127</v>
      </c>
      <c r="D353">
        <v>2021</v>
      </c>
      <c r="E353" t="s">
        <v>775</v>
      </c>
      <c r="F353" t="s">
        <v>180</v>
      </c>
      <c r="G353" s="1">
        <v>44370</v>
      </c>
      <c r="I353">
        <v>730</v>
      </c>
      <c r="J353" t="s">
        <v>349</v>
      </c>
      <c r="M353" t="str">
        <f>VLOOKUP(A353,assignments!A:Y,3,FALSE)</f>
        <v>CNH</v>
      </c>
    </row>
    <row r="354" spans="1:13" x14ac:dyDescent="0.25">
      <c r="A354" t="s">
        <v>350</v>
      </c>
      <c r="B354" t="s">
        <v>78</v>
      </c>
      <c r="C354" t="s">
        <v>127</v>
      </c>
      <c r="D354">
        <v>2021</v>
      </c>
      <c r="E354" t="s">
        <v>775</v>
      </c>
      <c r="F354" t="s">
        <v>180</v>
      </c>
      <c r="G354" s="1">
        <v>44488</v>
      </c>
      <c r="J354" t="s">
        <v>351</v>
      </c>
      <c r="M354" t="str">
        <f>VLOOKUP(A354,assignments!A:Y,3,FALSE)</f>
        <v>CNH</v>
      </c>
    </row>
    <row r="355" spans="1:13" x14ac:dyDescent="0.25">
      <c r="A355" t="s">
        <v>352</v>
      </c>
      <c r="B355" t="s">
        <v>78</v>
      </c>
      <c r="C355" t="s">
        <v>127</v>
      </c>
      <c r="D355">
        <v>2021</v>
      </c>
      <c r="E355" t="s">
        <v>775</v>
      </c>
      <c r="F355" t="s">
        <v>180</v>
      </c>
      <c r="G355" s="1">
        <v>44333</v>
      </c>
      <c r="I355">
        <v>540</v>
      </c>
      <c r="J355" t="s">
        <v>353</v>
      </c>
      <c r="M355" t="str">
        <f>VLOOKUP(A355,assignments!A:Y,3,FALSE)</f>
        <v>DEE</v>
      </c>
    </row>
    <row r="356" spans="1:13" x14ac:dyDescent="0.25">
      <c r="A356" t="s">
        <v>354</v>
      </c>
      <c r="B356" t="s">
        <v>78</v>
      </c>
      <c r="C356" t="s">
        <v>127</v>
      </c>
      <c r="D356">
        <v>2021</v>
      </c>
      <c r="E356" t="s">
        <v>775</v>
      </c>
      <c r="F356" t="s">
        <v>180</v>
      </c>
      <c r="G356" s="1">
        <v>44333</v>
      </c>
      <c r="I356">
        <v>740</v>
      </c>
      <c r="J356" t="s">
        <v>355</v>
      </c>
      <c r="M356" t="str">
        <f>VLOOKUP(A356,assignments!A:Y,3,FALSE)</f>
        <v>CNH</v>
      </c>
    </row>
    <row r="357" spans="1:13" hidden="1" x14ac:dyDescent="0.25">
      <c r="A357" t="s">
        <v>35</v>
      </c>
      <c r="B357" t="s">
        <v>13</v>
      </c>
      <c r="C357" t="s">
        <v>15</v>
      </c>
      <c r="D357">
        <v>2002</v>
      </c>
      <c r="E357" t="s">
        <v>11</v>
      </c>
      <c r="F357" t="s">
        <v>36</v>
      </c>
      <c r="G357" s="1">
        <v>37361</v>
      </c>
      <c r="I357">
        <v>64</v>
      </c>
      <c r="J357" t="s">
        <v>37</v>
      </c>
      <c r="K357" t="s">
        <v>778</v>
      </c>
    </row>
    <row r="358" spans="1:13" hidden="1" x14ac:dyDescent="0.25">
      <c r="A358" t="s">
        <v>38</v>
      </c>
      <c r="B358" t="s">
        <v>13</v>
      </c>
      <c r="C358" t="s">
        <v>15</v>
      </c>
      <c r="D358">
        <v>2002</v>
      </c>
      <c r="E358" t="s">
        <v>11</v>
      </c>
      <c r="F358" t="s">
        <v>36</v>
      </c>
      <c r="G358" s="1">
        <v>37361</v>
      </c>
      <c r="I358">
        <v>60</v>
      </c>
      <c r="J358" t="s">
        <v>39</v>
      </c>
      <c r="K358" t="s">
        <v>778</v>
      </c>
    </row>
    <row r="359" spans="1:13" hidden="1" x14ac:dyDescent="0.25">
      <c r="A359" t="s">
        <v>40</v>
      </c>
      <c r="B359" t="s">
        <v>13</v>
      </c>
      <c r="C359" t="s">
        <v>15</v>
      </c>
      <c r="D359">
        <v>2002</v>
      </c>
      <c r="E359" t="s">
        <v>11</v>
      </c>
      <c r="F359" t="s">
        <v>36</v>
      </c>
      <c r="G359" s="1">
        <v>37361</v>
      </c>
      <c r="I359">
        <v>62</v>
      </c>
      <c r="J359" t="s">
        <v>41</v>
      </c>
      <c r="K359" t="s">
        <v>778</v>
      </c>
    </row>
    <row r="360" spans="1:13" hidden="1" x14ac:dyDescent="0.25">
      <c r="A360" t="s">
        <v>64</v>
      </c>
      <c r="B360" t="s">
        <v>13</v>
      </c>
      <c r="C360" t="s">
        <v>15</v>
      </c>
      <c r="D360">
        <v>2002</v>
      </c>
      <c r="E360" t="s">
        <v>11</v>
      </c>
      <c r="F360" t="s">
        <v>36</v>
      </c>
      <c r="G360" s="1">
        <v>37368</v>
      </c>
      <c r="I360">
        <v>50</v>
      </c>
      <c r="J360" t="s">
        <v>65</v>
      </c>
      <c r="K360" t="s">
        <v>778</v>
      </c>
    </row>
    <row r="361" spans="1:13" hidden="1" x14ac:dyDescent="0.25">
      <c r="A361" t="s">
        <v>44</v>
      </c>
      <c r="B361" t="s">
        <v>13</v>
      </c>
      <c r="C361" t="s">
        <v>15</v>
      </c>
      <c r="D361">
        <v>2002</v>
      </c>
      <c r="E361" t="s">
        <v>11</v>
      </c>
      <c r="F361" t="s">
        <v>36</v>
      </c>
      <c r="G361" s="1">
        <v>37363</v>
      </c>
      <c r="I361">
        <v>60</v>
      </c>
      <c r="J361" t="s">
        <v>45</v>
      </c>
      <c r="K361" t="s">
        <v>778</v>
      </c>
    </row>
    <row r="362" spans="1:13" hidden="1" x14ac:dyDescent="0.25">
      <c r="A362" t="s">
        <v>46</v>
      </c>
      <c r="B362" t="s">
        <v>13</v>
      </c>
      <c r="C362" t="s">
        <v>15</v>
      </c>
      <c r="D362">
        <v>2002</v>
      </c>
      <c r="E362" t="s">
        <v>11</v>
      </c>
      <c r="F362" t="s">
        <v>36</v>
      </c>
      <c r="G362" s="1">
        <v>37363</v>
      </c>
      <c r="I362">
        <v>54</v>
      </c>
      <c r="J362" t="s">
        <v>47</v>
      </c>
      <c r="K362" t="s">
        <v>778</v>
      </c>
    </row>
    <row r="363" spans="1:13" hidden="1" x14ac:dyDescent="0.25">
      <c r="A363" t="s">
        <v>48</v>
      </c>
      <c r="B363" t="s">
        <v>13</v>
      </c>
      <c r="C363" t="s">
        <v>15</v>
      </c>
      <c r="D363">
        <v>2002</v>
      </c>
      <c r="E363" t="s">
        <v>11</v>
      </c>
      <c r="F363" t="s">
        <v>36</v>
      </c>
      <c r="G363" s="1">
        <v>37377</v>
      </c>
      <c r="I363">
        <v>52</v>
      </c>
      <c r="J363" t="s">
        <v>49</v>
      </c>
      <c r="K363" t="s">
        <v>778</v>
      </c>
    </row>
    <row r="364" spans="1:13" hidden="1" x14ac:dyDescent="0.25">
      <c r="A364" t="s">
        <v>50</v>
      </c>
      <c r="B364" t="s">
        <v>13</v>
      </c>
      <c r="C364" t="s">
        <v>15</v>
      </c>
      <c r="D364">
        <v>2002</v>
      </c>
      <c r="E364" t="s">
        <v>11</v>
      </c>
      <c r="F364" t="s">
        <v>36</v>
      </c>
      <c r="G364" s="1">
        <v>37377</v>
      </c>
      <c r="I364">
        <v>54</v>
      </c>
      <c r="J364" t="s">
        <v>51</v>
      </c>
      <c r="K364" t="s">
        <v>778</v>
      </c>
    </row>
    <row r="365" spans="1:13" hidden="1" x14ac:dyDescent="0.25">
      <c r="A365" t="s">
        <v>52</v>
      </c>
      <c r="B365" t="s">
        <v>13</v>
      </c>
      <c r="C365" t="s">
        <v>15</v>
      </c>
      <c r="D365">
        <v>2002</v>
      </c>
      <c r="E365" t="s">
        <v>11</v>
      </c>
      <c r="F365" t="s">
        <v>36</v>
      </c>
      <c r="G365" s="1">
        <v>37384</v>
      </c>
      <c r="I365">
        <v>69</v>
      </c>
      <c r="J365" t="s">
        <v>53</v>
      </c>
      <c r="K365" t="s">
        <v>778</v>
      </c>
    </row>
    <row r="366" spans="1:13" hidden="1" x14ac:dyDescent="0.25">
      <c r="A366" t="s">
        <v>54</v>
      </c>
      <c r="B366" t="s">
        <v>13</v>
      </c>
      <c r="C366" t="s">
        <v>15</v>
      </c>
      <c r="D366">
        <v>2002</v>
      </c>
      <c r="E366" t="s">
        <v>11</v>
      </c>
      <c r="F366" t="s">
        <v>36</v>
      </c>
      <c r="G366" s="1">
        <v>37384</v>
      </c>
      <c r="I366">
        <v>50</v>
      </c>
      <c r="J366" t="s">
        <v>55</v>
      </c>
      <c r="K366" t="s">
        <v>778</v>
      </c>
    </row>
    <row r="367" spans="1:13" hidden="1" x14ac:dyDescent="0.25">
      <c r="A367" t="s">
        <v>56</v>
      </c>
      <c r="B367" t="s">
        <v>13</v>
      </c>
      <c r="C367" t="s">
        <v>15</v>
      </c>
      <c r="D367">
        <v>2002</v>
      </c>
      <c r="E367" t="s">
        <v>11</v>
      </c>
      <c r="F367" t="s">
        <v>36</v>
      </c>
      <c r="G367" s="1">
        <v>37368</v>
      </c>
      <c r="I367">
        <v>57</v>
      </c>
      <c r="J367" t="s">
        <v>57</v>
      </c>
      <c r="K367" t="s">
        <v>778</v>
      </c>
    </row>
    <row r="368" spans="1:13" hidden="1" x14ac:dyDescent="0.25">
      <c r="A368" t="s">
        <v>58</v>
      </c>
      <c r="B368" t="s">
        <v>13</v>
      </c>
      <c r="C368" t="s">
        <v>15</v>
      </c>
      <c r="D368">
        <v>2002</v>
      </c>
      <c r="E368" t="s">
        <v>11</v>
      </c>
      <c r="F368" t="s">
        <v>36</v>
      </c>
      <c r="G368" s="1">
        <v>37368</v>
      </c>
      <c r="I368">
        <v>46</v>
      </c>
      <c r="J368" t="s">
        <v>59</v>
      </c>
      <c r="K368" t="s">
        <v>778</v>
      </c>
    </row>
    <row r="369" spans="1:11" hidden="1" x14ac:dyDescent="0.25">
      <c r="A369" t="s">
        <v>60</v>
      </c>
      <c r="B369" t="s">
        <v>13</v>
      </c>
      <c r="C369" t="s">
        <v>15</v>
      </c>
      <c r="D369">
        <v>2002</v>
      </c>
      <c r="E369" t="s">
        <v>11</v>
      </c>
      <c r="F369" t="s">
        <v>36</v>
      </c>
      <c r="G369" s="1">
        <v>37368</v>
      </c>
      <c r="I369">
        <v>47</v>
      </c>
      <c r="J369" t="s">
        <v>61</v>
      </c>
      <c r="K369" t="s">
        <v>778</v>
      </c>
    </row>
    <row r="370" spans="1:11" hidden="1" x14ac:dyDescent="0.25">
      <c r="A370" t="s">
        <v>62</v>
      </c>
      <c r="B370" t="s">
        <v>13</v>
      </c>
      <c r="C370" t="s">
        <v>15</v>
      </c>
      <c r="D370">
        <v>2002</v>
      </c>
      <c r="E370" t="s">
        <v>11</v>
      </c>
      <c r="F370" t="s">
        <v>36</v>
      </c>
      <c r="G370" s="1">
        <v>37368</v>
      </c>
      <c r="I370">
        <v>63</v>
      </c>
      <c r="J370" t="s">
        <v>63</v>
      </c>
      <c r="K370" t="s">
        <v>778</v>
      </c>
    </row>
    <row r="371" spans="1:11" hidden="1" x14ac:dyDescent="0.25">
      <c r="A371" t="s">
        <v>42</v>
      </c>
      <c r="B371" t="s">
        <v>13</v>
      </c>
      <c r="C371" t="s">
        <v>15</v>
      </c>
      <c r="D371">
        <v>2002</v>
      </c>
      <c r="E371" t="s">
        <v>11</v>
      </c>
      <c r="F371" t="s">
        <v>36</v>
      </c>
      <c r="G371" s="1">
        <v>37363</v>
      </c>
      <c r="I371">
        <v>101</v>
      </c>
      <c r="J371" t="s">
        <v>43</v>
      </c>
      <c r="K371" t="s">
        <v>778</v>
      </c>
    </row>
    <row r="372" spans="1:11" hidden="1" x14ac:dyDescent="0.25">
      <c r="A372" t="s">
        <v>66</v>
      </c>
      <c r="B372" t="s">
        <v>13</v>
      </c>
      <c r="C372" t="s">
        <v>15</v>
      </c>
      <c r="D372">
        <v>2002</v>
      </c>
      <c r="E372" t="s">
        <v>11</v>
      </c>
      <c r="F372" t="s">
        <v>36</v>
      </c>
      <c r="G372" s="1">
        <v>37370</v>
      </c>
      <c r="I372">
        <v>47</v>
      </c>
      <c r="J372" t="s">
        <v>67</v>
      </c>
      <c r="K372" t="s">
        <v>778</v>
      </c>
    </row>
    <row r="373" spans="1:11" hidden="1" x14ac:dyDescent="0.25">
      <c r="A373" t="s">
        <v>68</v>
      </c>
      <c r="B373" t="s">
        <v>13</v>
      </c>
      <c r="C373" t="s">
        <v>15</v>
      </c>
      <c r="D373">
        <v>2002</v>
      </c>
      <c r="E373" t="s">
        <v>11</v>
      </c>
      <c r="F373" t="s">
        <v>36</v>
      </c>
      <c r="G373" s="1">
        <v>37370</v>
      </c>
      <c r="I373">
        <v>56</v>
      </c>
      <c r="J373" t="s">
        <v>69</v>
      </c>
      <c r="K373" t="s">
        <v>778</v>
      </c>
    </row>
    <row r="374" spans="1:11" hidden="1" x14ac:dyDescent="0.25">
      <c r="A374" t="s">
        <v>70</v>
      </c>
      <c r="B374" t="s">
        <v>13</v>
      </c>
      <c r="C374" t="s">
        <v>15</v>
      </c>
      <c r="D374">
        <v>2002</v>
      </c>
      <c r="E374" t="s">
        <v>11</v>
      </c>
      <c r="F374" t="s">
        <v>36</v>
      </c>
      <c r="G374" s="1">
        <v>37375</v>
      </c>
      <c r="I374">
        <v>83</v>
      </c>
      <c r="J374" t="s">
        <v>71</v>
      </c>
      <c r="K374" t="s">
        <v>778</v>
      </c>
    </row>
    <row r="375" spans="1:11" hidden="1" x14ac:dyDescent="0.25">
      <c r="A375" t="s">
        <v>72</v>
      </c>
      <c r="B375" t="s">
        <v>13</v>
      </c>
      <c r="C375" t="s">
        <v>15</v>
      </c>
      <c r="D375">
        <v>2002</v>
      </c>
      <c r="E375" t="s">
        <v>11</v>
      </c>
      <c r="F375" t="s">
        <v>36</v>
      </c>
      <c r="G375" s="1">
        <v>37375</v>
      </c>
      <c r="I375">
        <v>65</v>
      </c>
      <c r="J375" t="s">
        <v>73</v>
      </c>
      <c r="K375" t="s">
        <v>778</v>
      </c>
    </row>
    <row r="376" spans="1:11" hidden="1" x14ac:dyDescent="0.25">
      <c r="A376" t="s">
        <v>74</v>
      </c>
      <c r="B376" t="s">
        <v>13</v>
      </c>
      <c r="C376" t="s">
        <v>15</v>
      </c>
      <c r="D376">
        <v>2002</v>
      </c>
      <c r="E376" t="s">
        <v>11</v>
      </c>
      <c r="F376" t="s">
        <v>36</v>
      </c>
      <c r="G376" s="1">
        <v>37389</v>
      </c>
      <c r="I376">
        <v>62</v>
      </c>
      <c r="J376" t="s">
        <v>75</v>
      </c>
      <c r="K376" t="s">
        <v>778</v>
      </c>
    </row>
  </sheetData>
  <autoFilter ref="A1:Q376" xr:uid="{4E161DA3-53F3-4750-A988-8F9A5FDC1E54}">
    <filterColumn colId="1">
      <filters>
        <filter val="battle creek"/>
        <filter val="Coleman Hatchery"/>
      </filters>
    </filterColumn>
    <filterColumn colId="10">
      <filters blank="1"/>
    </filterColumn>
    <sortState xmlns:xlrd2="http://schemas.microsoft.com/office/spreadsheetml/2017/richdata2" ref="A2:L356">
      <sortCondition descending="1" ref="B1:B376"/>
    </sortState>
  </autoFilter>
  <sortState xmlns:xlrd2="http://schemas.microsoft.com/office/spreadsheetml/2017/richdata2" ref="A2:J377">
    <sortCondition ref="J1:J37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8701-141B-4A2D-A42A-810C2139AD3C}">
  <dimension ref="A1:Y276"/>
  <sheetViews>
    <sheetView workbookViewId="0">
      <selection sqref="A1:Y276"/>
    </sheetView>
  </sheetViews>
  <sheetFormatPr defaultRowHeight="15" x14ac:dyDescent="0.25"/>
  <sheetData>
    <row r="1" spans="1:25" x14ac:dyDescent="0.25">
      <c r="A1" t="s">
        <v>0</v>
      </c>
      <c r="B1" t="s">
        <v>801</v>
      </c>
      <c r="C1" t="s">
        <v>802</v>
      </c>
      <c r="D1" t="s">
        <v>819</v>
      </c>
      <c r="E1" t="s">
        <v>820</v>
      </c>
      <c r="F1" t="s">
        <v>821</v>
      </c>
      <c r="G1" t="s">
        <v>822</v>
      </c>
      <c r="H1" t="s">
        <v>823</v>
      </c>
      <c r="I1" t="s">
        <v>824</v>
      </c>
      <c r="J1" t="s">
        <v>825</v>
      </c>
      <c r="K1" t="s">
        <v>826</v>
      </c>
      <c r="L1" t="s">
        <v>827</v>
      </c>
      <c r="M1" t="s">
        <v>828</v>
      </c>
      <c r="N1" t="s">
        <v>829</v>
      </c>
      <c r="O1" t="s">
        <v>830</v>
      </c>
      <c r="P1" t="s">
        <v>831</v>
      </c>
      <c r="Q1" t="s">
        <v>832</v>
      </c>
      <c r="R1" t="s">
        <v>833</v>
      </c>
      <c r="S1" t="s">
        <v>834</v>
      </c>
      <c r="T1" t="s">
        <v>835</v>
      </c>
      <c r="U1" t="s">
        <v>836</v>
      </c>
      <c r="V1" t="s">
        <v>837</v>
      </c>
      <c r="W1" t="s">
        <v>838</v>
      </c>
      <c r="X1" t="s">
        <v>839</v>
      </c>
      <c r="Y1" t="s">
        <v>840</v>
      </c>
    </row>
    <row r="2" spans="1:25" ht="30" x14ac:dyDescent="0.25">
      <c r="A2" t="s">
        <v>580</v>
      </c>
      <c r="B2">
        <v>2005</v>
      </c>
      <c r="C2" t="s">
        <v>803</v>
      </c>
      <c r="D2">
        <v>3</v>
      </c>
      <c r="E2">
        <v>3</v>
      </c>
      <c r="F2">
        <v>3</v>
      </c>
      <c r="G2">
        <v>680</v>
      </c>
      <c r="H2" t="s">
        <v>841</v>
      </c>
      <c r="I2" t="s">
        <v>842</v>
      </c>
      <c r="J2">
        <v>2003</v>
      </c>
      <c r="K2" t="s">
        <v>843</v>
      </c>
      <c r="L2" t="s">
        <v>844</v>
      </c>
      <c r="M2" t="s">
        <v>845</v>
      </c>
      <c r="N2" t="s">
        <v>845</v>
      </c>
      <c r="O2" t="s">
        <v>844</v>
      </c>
      <c r="P2">
        <v>0</v>
      </c>
      <c r="Q2" t="s">
        <v>844</v>
      </c>
      <c r="R2">
        <v>275</v>
      </c>
      <c r="S2">
        <v>67</v>
      </c>
      <c r="T2">
        <v>0.24363636363636401</v>
      </c>
      <c r="U2" s="7" t="s">
        <v>846</v>
      </c>
      <c r="V2">
        <v>67</v>
      </c>
      <c r="W2" s="7" t="s">
        <v>846</v>
      </c>
      <c r="X2">
        <v>4</v>
      </c>
      <c r="Y2" s="7" t="s">
        <v>847</v>
      </c>
    </row>
    <row r="3" spans="1:25" ht="45" x14ac:dyDescent="0.25">
      <c r="A3" t="s">
        <v>578</v>
      </c>
      <c r="B3">
        <v>2005</v>
      </c>
      <c r="C3" t="s">
        <v>804</v>
      </c>
      <c r="D3">
        <v>3</v>
      </c>
      <c r="E3">
        <v>3</v>
      </c>
      <c r="F3">
        <v>3</v>
      </c>
      <c r="G3">
        <v>720</v>
      </c>
      <c r="H3" t="s">
        <v>841</v>
      </c>
      <c r="I3" t="s">
        <v>842</v>
      </c>
      <c r="J3">
        <v>2003</v>
      </c>
      <c r="K3" t="s">
        <v>843</v>
      </c>
      <c r="L3" t="s">
        <v>844</v>
      </c>
      <c r="M3" t="s">
        <v>848</v>
      </c>
      <c r="N3" t="s">
        <v>849</v>
      </c>
      <c r="O3" t="s">
        <v>844</v>
      </c>
      <c r="P3">
        <v>0</v>
      </c>
      <c r="Q3" t="s">
        <v>844</v>
      </c>
      <c r="R3">
        <v>275</v>
      </c>
      <c r="S3">
        <v>79</v>
      </c>
      <c r="T3">
        <v>0.410909090909091</v>
      </c>
      <c r="U3" s="7" t="s">
        <v>850</v>
      </c>
      <c r="V3">
        <v>113</v>
      </c>
      <c r="W3" s="7" t="s">
        <v>851</v>
      </c>
      <c r="X3">
        <v>4</v>
      </c>
      <c r="Y3" s="7" t="s">
        <v>847</v>
      </c>
    </row>
    <row r="4" spans="1:25" ht="30" x14ac:dyDescent="0.25">
      <c r="A4" t="s">
        <v>576</v>
      </c>
      <c r="B4">
        <v>2005</v>
      </c>
      <c r="C4" t="s">
        <v>803</v>
      </c>
      <c r="D4">
        <v>3</v>
      </c>
      <c r="E4">
        <v>3</v>
      </c>
      <c r="F4">
        <v>3</v>
      </c>
      <c r="G4" t="s">
        <v>844</v>
      </c>
      <c r="H4" t="s">
        <v>852</v>
      </c>
      <c r="I4" t="s">
        <v>842</v>
      </c>
      <c r="J4">
        <v>2003</v>
      </c>
      <c r="K4" t="s">
        <v>843</v>
      </c>
      <c r="L4" t="s">
        <v>844</v>
      </c>
      <c r="M4" t="s">
        <v>845</v>
      </c>
      <c r="N4" t="s">
        <v>845</v>
      </c>
      <c r="O4" t="s">
        <v>844</v>
      </c>
      <c r="P4">
        <v>0</v>
      </c>
      <c r="Q4" t="s">
        <v>844</v>
      </c>
      <c r="R4">
        <v>275</v>
      </c>
      <c r="S4">
        <v>67</v>
      </c>
      <c r="T4">
        <v>0.24363636363636401</v>
      </c>
      <c r="U4" s="7" t="s">
        <v>846</v>
      </c>
      <c r="V4">
        <v>67</v>
      </c>
      <c r="W4" s="7" t="s">
        <v>846</v>
      </c>
      <c r="X4">
        <v>4</v>
      </c>
      <c r="Y4" s="7" t="s">
        <v>847</v>
      </c>
    </row>
    <row r="5" spans="1:25" ht="45" x14ac:dyDescent="0.25">
      <c r="A5" t="s">
        <v>574</v>
      </c>
      <c r="B5">
        <v>2005</v>
      </c>
      <c r="C5" t="s">
        <v>805</v>
      </c>
      <c r="D5">
        <v>3</v>
      </c>
      <c r="E5">
        <v>3</v>
      </c>
      <c r="F5">
        <v>3</v>
      </c>
      <c r="G5">
        <v>685</v>
      </c>
      <c r="H5" t="s">
        <v>841</v>
      </c>
      <c r="I5" t="s">
        <v>842</v>
      </c>
      <c r="J5">
        <v>2003</v>
      </c>
      <c r="K5" t="s">
        <v>843</v>
      </c>
      <c r="L5" t="s">
        <v>844</v>
      </c>
      <c r="M5" t="s">
        <v>853</v>
      </c>
      <c r="N5" t="s">
        <v>849</v>
      </c>
      <c r="O5" t="s">
        <v>844</v>
      </c>
      <c r="P5">
        <v>0</v>
      </c>
      <c r="Q5" t="s">
        <v>844</v>
      </c>
      <c r="R5">
        <v>275</v>
      </c>
      <c r="S5">
        <v>34</v>
      </c>
      <c r="T5">
        <v>0.410909090909091</v>
      </c>
      <c r="U5" s="7" t="s">
        <v>854</v>
      </c>
      <c r="V5">
        <v>113</v>
      </c>
      <c r="W5" s="7" t="s">
        <v>851</v>
      </c>
      <c r="X5">
        <v>4</v>
      </c>
      <c r="Y5" s="7" t="s">
        <v>847</v>
      </c>
    </row>
    <row r="6" spans="1:25" ht="45" x14ac:dyDescent="0.25">
      <c r="A6" t="s">
        <v>596</v>
      </c>
      <c r="B6">
        <v>2006</v>
      </c>
      <c r="C6" t="s">
        <v>804</v>
      </c>
      <c r="D6">
        <v>3</v>
      </c>
      <c r="E6">
        <v>3</v>
      </c>
      <c r="F6">
        <v>3</v>
      </c>
      <c r="G6">
        <v>765</v>
      </c>
      <c r="H6" t="s">
        <v>841</v>
      </c>
      <c r="I6" t="s">
        <v>842</v>
      </c>
      <c r="J6">
        <v>2004</v>
      </c>
      <c r="K6" t="s">
        <v>855</v>
      </c>
      <c r="L6" t="s">
        <v>844</v>
      </c>
      <c r="M6" t="s">
        <v>848</v>
      </c>
      <c r="N6" t="s">
        <v>849</v>
      </c>
      <c r="O6" t="s">
        <v>844</v>
      </c>
      <c r="P6">
        <v>0</v>
      </c>
      <c r="Q6" t="s">
        <v>844</v>
      </c>
      <c r="R6">
        <v>275</v>
      </c>
      <c r="S6">
        <v>79</v>
      </c>
      <c r="T6">
        <v>0.410909090909091</v>
      </c>
      <c r="U6" s="7" t="s">
        <v>850</v>
      </c>
      <c r="V6">
        <v>113</v>
      </c>
      <c r="W6" s="7" t="s">
        <v>851</v>
      </c>
      <c r="X6">
        <v>36</v>
      </c>
      <c r="Y6" s="7" t="s">
        <v>856</v>
      </c>
    </row>
    <row r="7" spans="1:25" ht="30" x14ac:dyDescent="0.25">
      <c r="A7" t="s">
        <v>592</v>
      </c>
      <c r="B7">
        <v>2006</v>
      </c>
      <c r="C7" t="s">
        <v>806</v>
      </c>
      <c r="D7">
        <v>3</v>
      </c>
      <c r="E7">
        <v>3</v>
      </c>
      <c r="F7">
        <v>3</v>
      </c>
      <c r="G7">
        <v>675</v>
      </c>
      <c r="H7" t="s">
        <v>841</v>
      </c>
      <c r="I7" t="s">
        <v>842</v>
      </c>
      <c r="J7">
        <v>2004</v>
      </c>
      <c r="K7" t="s">
        <v>855</v>
      </c>
      <c r="L7" t="s">
        <v>844</v>
      </c>
      <c r="M7" t="s">
        <v>845</v>
      </c>
      <c r="N7" t="s">
        <v>845</v>
      </c>
      <c r="O7" t="s">
        <v>844</v>
      </c>
      <c r="P7">
        <v>0</v>
      </c>
      <c r="Q7" t="s">
        <v>844</v>
      </c>
      <c r="R7">
        <v>275</v>
      </c>
      <c r="S7">
        <v>67</v>
      </c>
      <c r="T7">
        <v>0.24363636363636401</v>
      </c>
      <c r="U7" s="7" t="s">
        <v>846</v>
      </c>
      <c r="V7">
        <v>67</v>
      </c>
      <c r="W7" s="7" t="s">
        <v>846</v>
      </c>
      <c r="X7">
        <v>36</v>
      </c>
      <c r="Y7" s="7" t="s">
        <v>856</v>
      </c>
    </row>
    <row r="8" spans="1:25" ht="30" x14ac:dyDescent="0.25">
      <c r="A8" t="s">
        <v>594</v>
      </c>
      <c r="B8">
        <v>2006</v>
      </c>
      <c r="C8" t="s">
        <v>807</v>
      </c>
      <c r="D8">
        <v>2</v>
      </c>
      <c r="E8">
        <v>2</v>
      </c>
      <c r="F8">
        <v>2</v>
      </c>
      <c r="G8">
        <v>640</v>
      </c>
      <c r="H8" t="s">
        <v>841</v>
      </c>
      <c r="I8" t="s">
        <v>842</v>
      </c>
      <c r="J8">
        <v>2005</v>
      </c>
      <c r="K8" t="s">
        <v>843</v>
      </c>
      <c r="L8" t="s">
        <v>857</v>
      </c>
      <c r="M8" t="s">
        <v>807</v>
      </c>
      <c r="N8" t="s">
        <v>807</v>
      </c>
      <c r="O8">
        <v>304.65448338906901</v>
      </c>
      <c r="P8">
        <v>449.02485064234202</v>
      </c>
      <c r="Q8">
        <v>0.54</v>
      </c>
      <c r="R8">
        <v>275</v>
      </c>
      <c r="S8">
        <v>79</v>
      </c>
      <c r="T8">
        <v>0.28727272727272701</v>
      </c>
      <c r="U8" s="7" t="s">
        <v>858</v>
      </c>
      <c r="V8">
        <v>79</v>
      </c>
      <c r="W8" s="7" t="s">
        <v>858</v>
      </c>
      <c r="X8">
        <v>36</v>
      </c>
      <c r="Y8" s="7" t="s">
        <v>856</v>
      </c>
    </row>
    <row r="9" spans="1:25" ht="45" x14ac:dyDescent="0.25">
      <c r="A9" t="s">
        <v>590</v>
      </c>
      <c r="B9">
        <v>2006</v>
      </c>
      <c r="C9" t="s">
        <v>808</v>
      </c>
      <c r="D9">
        <v>3</v>
      </c>
      <c r="E9">
        <v>3</v>
      </c>
      <c r="F9">
        <v>3</v>
      </c>
      <c r="G9">
        <v>670</v>
      </c>
      <c r="H9" t="s">
        <v>859</v>
      </c>
      <c r="I9" t="s">
        <v>842</v>
      </c>
      <c r="J9">
        <v>2004</v>
      </c>
      <c r="K9" t="s">
        <v>855</v>
      </c>
      <c r="L9" t="s">
        <v>844</v>
      </c>
      <c r="M9" t="s">
        <v>853</v>
      </c>
      <c r="N9" t="s">
        <v>849</v>
      </c>
      <c r="O9" t="s">
        <v>844</v>
      </c>
      <c r="P9">
        <v>0</v>
      </c>
      <c r="Q9" t="s">
        <v>844</v>
      </c>
      <c r="R9">
        <v>275</v>
      </c>
      <c r="S9">
        <v>34</v>
      </c>
      <c r="T9">
        <v>0.410909090909091</v>
      </c>
      <c r="U9" s="7" t="s">
        <v>854</v>
      </c>
      <c r="V9">
        <v>113</v>
      </c>
      <c r="W9" s="7" t="s">
        <v>851</v>
      </c>
      <c r="X9">
        <v>36</v>
      </c>
      <c r="Y9" s="7" t="s">
        <v>856</v>
      </c>
    </row>
    <row r="10" spans="1:25" ht="45" x14ac:dyDescent="0.25">
      <c r="A10" t="s">
        <v>588</v>
      </c>
      <c r="B10">
        <v>2006</v>
      </c>
      <c r="C10" t="s">
        <v>804</v>
      </c>
      <c r="D10">
        <v>2</v>
      </c>
      <c r="E10">
        <v>2</v>
      </c>
      <c r="F10">
        <v>2</v>
      </c>
      <c r="G10">
        <v>668</v>
      </c>
      <c r="H10" t="s">
        <v>841</v>
      </c>
      <c r="I10" t="s">
        <v>842</v>
      </c>
      <c r="J10">
        <v>2005</v>
      </c>
      <c r="K10" t="s">
        <v>843</v>
      </c>
      <c r="L10" t="s">
        <v>844</v>
      </c>
      <c r="M10" t="s">
        <v>848</v>
      </c>
      <c r="N10" t="s">
        <v>849</v>
      </c>
      <c r="O10" t="s">
        <v>844</v>
      </c>
      <c r="P10">
        <v>0</v>
      </c>
      <c r="Q10" t="s">
        <v>844</v>
      </c>
      <c r="R10">
        <v>275</v>
      </c>
      <c r="S10">
        <v>79</v>
      </c>
      <c r="T10">
        <v>0.410909090909091</v>
      </c>
      <c r="U10" s="7" t="s">
        <v>850</v>
      </c>
      <c r="V10">
        <v>113</v>
      </c>
      <c r="W10" s="7" t="s">
        <v>851</v>
      </c>
      <c r="X10">
        <v>36</v>
      </c>
      <c r="Y10" s="7" t="s">
        <v>856</v>
      </c>
    </row>
    <row r="11" spans="1:25" ht="30" x14ac:dyDescent="0.25">
      <c r="A11" t="s">
        <v>586</v>
      </c>
      <c r="B11">
        <v>2006</v>
      </c>
      <c r="C11" t="s">
        <v>803</v>
      </c>
      <c r="D11">
        <v>3</v>
      </c>
      <c r="E11">
        <v>3</v>
      </c>
      <c r="F11">
        <v>3</v>
      </c>
      <c r="G11" t="s">
        <v>844</v>
      </c>
      <c r="H11" t="s">
        <v>841</v>
      </c>
      <c r="I11" t="s">
        <v>842</v>
      </c>
      <c r="J11">
        <v>2004</v>
      </c>
      <c r="K11" t="s">
        <v>855</v>
      </c>
      <c r="L11" t="s">
        <v>844</v>
      </c>
      <c r="M11" t="s">
        <v>845</v>
      </c>
      <c r="N11" t="s">
        <v>845</v>
      </c>
      <c r="O11" t="s">
        <v>844</v>
      </c>
      <c r="P11">
        <v>0</v>
      </c>
      <c r="Q11" t="s">
        <v>844</v>
      </c>
      <c r="R11">
        <v>275</v>
      </c>
      <c r="S11">
        <v>67</v>
      </c>
      <c r="T11">
        <v>0.24363636363636401</v>
      </c>
      <c r="U11" s="7" t="s">
        <v>846</v>
      </c>
      <c r="V11">
        <v>67</v>
      </c>
      <c r="W11" s="7" t="s">
        <v>846</v>
      </c>
      <c r="X11">
        <v>36</v>
      </c>
      <c r="Y11" s="7" t="s">
        <v>856</v>
      </c>
    </row>
    <row r="12" spans="1:25" ht="30" x14ac:dyDescent="0.25">
      <c r="A12" t="s">
        <v>584</v>
      </c>
      <c r="B12">
        <v>2006</v>
      </c>
      <c r="C12" t="s">
        <v>803</v>
      </c>
      <c r="D12">
        <v>3</v>
      </c>
      <c r="E12">
        <v>3</v>
      </c>
      <c r="F12">
        <v>3</v>
      </c>
      <c r="G12">
        <v>710</v>
      </c>
      <c r="H12" t="s">
        <v>841</v>
      </c>
      <c r="I12" t="s">
        <v>842</v>
      </c>
      <c r="J12">
        <v>2004</v>
      </c>
      <c r="K12" t="s">
        <v>855</v>
      </c>
      <c r="L12" t="s">
        <v>844</v>
      </c>
      <c r="M12" t="s">
        <v>845</v>
      </c>
      <c r="N12" t="s">
        <v>845</v>
      </c>
      <c r="O12" t="s">
        <v>844</v>
      </c>
      <c r="P12">
        <v>0</v>
      </c>
      <c r="Q12" t="s">
        <v>844</v>
      </c>
      <c r="R12">
        <v>275</v>
      </c>
      <c r="S12">
        <v>67</v>
      </c>
      <c r="T12">
        <v>0.24363636363636401</v>
      </c>
      <c r="U12" s="7" t="s">
        <v>846</v>
      </c>
      <c r="V12">
        <v>67</v>
      </c>
      <c r="W12" s="7" t="s">
        <v>846</v>
      </c>
      <c r="X12">
        <v>36</v>
      </c>
      <c r="Y12" s="7" t="s">
        <v>856</v>
      </c>
    </row>
    <row r="13" spans="1:25" ht="30" x14ac:dyDescent="0.25">
      <c r="A13" t="s">
        <v>582</v>
      </c>
      <c r="B13">
        <v>2006</v>
      </c>
      <c r="C13" t="s">
        <v>807</v>
      </c>
      <c r="D13">
        <v>2</v>
      </c>
      <c r="E13">
        <v>2</v>
      </c>
      <c r="F13">
        <v>2</v>
      </c>
      <c r="G13">
        <v>680</v>
      </c>
      <c r="H13" t="s">
        <v>859</v>
      </c>
      <c r="I13" t="s">
        <v>842</v>
      </c>
      <c r="J13">
        <v>2005</v>
      </c>
      <c r="K13" t="s">
        <v>843</v>
      </c>
      <c r="L13" t="s">
        <v>860</v>
      </c>
      <c r="M13" t="s">
        <v>807</v>
      </c>
      <c r="N13" t="s">
        <v>807</v>
      </c>
      <c r="O13">
        <v>438.66653890816502</v>
      </c>
      <c r="P13">
        <v>513.64229501742</v>
      </c>
      <c r="Q13">
        <v>0.27</v>
      </c>
      <c r="R13">
        <v>275</v>
      </c>
      <c r="S13">
        <v>79</v>
      </c>
      <c r="T13">
        <v>0.28727272727272701</v>
      </c>
      <c r="U13" s="7" t="s">
        <v>858</v>
      </c>
      <c r="V13">
        <v>79</v>
      </c>
      <c r="W13" s="7" t="s">
        <v>858</v>
      </c>
      <c r="X13">
        <v>36</v>
      </c>
      <c r="Y13" s="7" t="s">
        <v>856</v>
      </c>
    </row>
    <row r="14" spans="1:25" ht="30" x14ac:dyDescent="0.25">
      <c r="A14" t="s">
        <v>598</v>
      </c>
      <c r="B14">
        <v>2006</v>
      </c>
      <c r="C14" t="s">
        <v>807</v>
      </c>
      <c r="D14">
        <v>3</v>
      </c>
      <c r="E14">
        <v>3</v>
      </c>
      <c r="F14">
        <v>3</v>
      </c>
      <c r="G14">
        <v>725</v>
      </c>
      <c r="H14" t="s">
        <v>841</v>
      </c>
      <c r="I14" t="s">
        <v>842</v>
      </c>
      <c r="J14">
        <v>2004</v>
      </c>
      <c r="K14" t="s">
        <v>855</v>
      </c>
      <c r="L14" t="s">
        <v>857</v>
      </c>
      <c r="M14" t="s">
        <v>807</v>
      </c>
      <c r="N14" t="s">
        <v>807</v>
      </c>
      <c r="O14">
        <v>385.71754265651498</v>
      </c>
      <c r="P14">
        <v>477.43734571977097</v>
      </c>
      <c r="Q14">
        <v>0.28999999999999998</v>
      </c>
      <c r="R14">
        <v>275</v>
      </c>
      <c r="S14">
        <v>79</v>
      </c>
      <c r="T14">
        <v>0.28727272727272701</v>
      </c>
      <c r="U14" s="7" t="s">
        <v>858</v>
      </c>
      <c r="V14">
        <v>79</v>
      </c>
      <c r="W14" s="7" t="s">
        <v>858</v>
      </c>
      <c r="X14">
        <v>36</v>
      </c>
      <c r="Y14" s="7" t="s">
        <v>856</v>
      </c>
    </row>
    <row r="15" spans="1:25" ht="30" x14ac:dyDescent="0.25">
      <c r="A15" t="s">
        <v>600</v>
      </c>
      <c r="B15">
        <v>2006</v>
      </c>
      <c r="C15" t="s">
        <v>807</v>
      </c>
      <c r="D15">
        <v>2</v>
      </c>
      <c r="E15">
        <v>2</v>
      </c>
      <c r="F15">
        <v>2</v>
      </c>
      <c r="G15">
        <v>760</v>
      </c>
      <c r="H15" t="s">
        <v>841</v>
      </c>
      <c r="I15" t="s">
        <v>842</v>
      </c>
      <c r="J15">
        <v>2005</v>
      </c>
      <c r="K15" t="s">
        <v>843</v>
      </c>
      <c r="L15" t="s">
        <v>860</v>
      </c>
      <c r="M15" t="s">
        <v>807</v>
      </c>
      <c r="N15" t="s">
        <v>807</v>
      </c>
      <c r="O15">
        <v>504.12528952444899</v>
      </c>
      <c r="P15">
        <v>593.52956155915604</v>
      </c>
      <c r="Q15">
        <v>0.3</v>
      </c>
      <c r="R15">
        <v>275</v>
      </c>
      <c r="S15">
        <v>79</v>
      </c>
      <c r="T15">
        <v>0.28727272727272701</v>
      </c>
      <c r="U15" s="7" t="s">
        <v>858</v>
      </c>
      <c r="V15">
        <v>79</v>
      </c>
      <c r="W15" s="7" t="s">
        <v>858</v>
      </c>
      <c r="X15">
        <v>36</v>
      </c>
      <c r="Y15" s="7" t="s">
        <v>856</v>
      </c>
    </row>
    <row r="16" spans="1:25" ht="45" x14ac:dyDescent="0.25">
      <c r="A16" t="s">
        <v>602</v>
      </c>
      <c r="B16">
        <v>2006</v>
      </c>
      <c r="C16" t="s">
        <v>809</v>
      </c>
      <c r="D16">
        <v>3</v>
      </c>
      <c r="E16">
        <v>3</v>
      </c>
      <c r="F16">
        <v>3</v>
      </c>
      <c r="G16">
        <v>750</v>
      </c>
      <c r="H16" t="s">
        <v>859</v>
      </c>
      <c r="I16" t="s">
        <v>842</v>
      </c>
      <c r="J16">
        <v>2004</v>
      </c>
      <c r="K16" t="s">
        <v>855</v>
      </c>
      <c r="L16" t="s">
        <v>844</v>
      </c>
      <c r="M16" t="s">
        <v>853</v>
      </c>
      <c r="N16" t="s">
        <v>849</v>
      </c>
      <c r="O16" t="s">
        <v>844</v>
      </c>
      <c r="P16">
        <v>0</v>
      </c>
      <c r="Q16" t="s">
        <v>844</v>
      </c>
      <c r="R16">
        <v>275</v>
      </c>
      <c r="S16">
        <v>34</v>
      </c>
      <c r="T16">
        <v>0.410909090909091</v>
      </c>
      <c r="U16" s="7" t="s">
        <v>854</v>
      </c>
      <c r="V16">
        <v>113</v>
      </c>
      <c r="W16" s="7" t="s">
        <v>851</v>
      </c>
      <c r="X16">
        <v>36</v>
      </c>
      <c r="Y16" s="7" t="s">
        <v>856</v>
      </c>
    </row>
    <row r="17" spans="1:25" ht="45" x14ac:dyDescent="0.25">
      <c r="A17" t="s">
        <v>604</v>
      </c>
      <c r="B17">
        <v>2006</v>
      </c>
      <c r="C17" t="s">
        <v>804</v>
      </c>
      <c r="D17">
        <v>3</v>
      </c>
      <c r="E17">
        <v>3</v>
      </c>
      <c r="F17">
        <v>3</v>
      </c>
      <c r="G17">
        <v>715</v>
      </c>
      <c r="H17" t="s">
        <v>859</v>
      </c>
      <c r="I17" t="s">
        <v>842</v>
      </c>
      <c r="J17">
        <v>2004</v>
      </c>
      <c r="K17" t="s">
        <v>855</v>
      </c>
      <c r="L17" t="s">
        <v>844</v>
      </c>
      <c r="M17" t="s">
        <v>848</v>
      </c>
      <c r="N17" t="s">
        <v>849</v>
      </c>
      <c r="O17" t="s">
        <v>844</v>
      </c>
      <c r="P17">
        <v>0</v>
      </c>
      <c r="Q17" t="s">
        <v>844</v>
      </c>
      <c r="R17">
        <v>275</v>
      </c>
      <c r="S17">
        <v>79</v>
      </c>
      <c r="T17">
        <v>0.410909090909091</v>
      </c>
      <c r="U17" s="7" t="s">
        <v>850</v>
      </c>
      <c r="V17">
        <v>113</v>
      </c>
      <c r="W17" s="7" t="s">
        <v>851</v>
      </c>
      <c r="X17">
        <v>36</v>
      </c>
      <c r="Y17" s="7" t="s">
        <v>856</v>
      </c>
    </row>
    <row r="18" spans="1:25" ht="30" x14ac:dyDescent="0.25">
      <c r="A18" t="s">
        <v>606</v>
      </c>
      <c r="B18">
        <v>2006</v>
      </c>
      <c r="C18" t="s">
        <v>807</v>
      </c>
      <c r="D18">
        <v>3</v>
      </c>
      <c r="E18">
        <v>3</v>
      </c>
      <c r="F18">
        <v>3</v>
      </c>
      <c r="G18">
        <v>865</v>
      </c>
      <c r="H18" t="s">
        <v>859</v>
      </c>
      <c r="I18" t="s">
        <v>842</v>
      </c>
      <c r="J18">
        <v>2004</v>
      </c>
      <c r="K18" t="s">
        <v>855</v>
      </c>
      <c r="L18" t="s">
        <v>860</v>
      </c>
      <c r="M18" t="s">
        <v>807</v>
      </c>
      <c r="N18" t="s">
        <v>807</v>
      </c>
      <c r="O18">
        <v>497.03571954523699</v>
      </c>
      <c r="P18">
        <v>594.06254085495198</v>
      </c>
      <c r="Q18">
        <v>0.26</v>
      </c>
      <c r="R18">
        <v>275</v>
      </c>
      <c r="S18">
        <v>79</v>
      </c>
      <c r="T18">
        <v>0.28727272727272701</v>
      </c>
      <c r="U18" s="7" t="s">
        <v>858</v>
      </c>
      <c r="V18">
        <v>79</v>
      </c>
      <c r="W18" s="7" t="s">
        <v>858</v>
      </c>
      <c r="X18">
        <v>36</v>
      </c>
      <c r="Y18" s="7" t="s">
        <v>856</v>
      </c>
    </row>
    <row r="19" spans="1:25" ht="30" x14ac:dyDescent="0.25">
      <c r="A19" t="s">
        <v>608</v>
      </c>
      <c r="B19">
        <v>2006</v>
      </c>
      <c r="C19" t="s">
        <v>806</v>
      </c>
      <c r="D19">
        <v>4</v>
      </c>
      <c r="E19">
        <v>4</v>
      </c>
      <c r="F19">
        <v>4</v>
      </c>
      <c r="G19">
        <v>800</v>
      </c>
      <c r="H19" t="s">
        <v>841</v>
      </c>
      <c r="I19" t="s">
        <v>842</v>
      </c>
      <c r="J19">
        <v>2003</v>
      </c>
      <c r="K19" t="s">
        <v>843</v>
      </c>
      <c r="L19" t="s">
        <v>844</v>
      </c>
      <c r="M19" t="s">
        <v>845</v>
      </c>
      <c r="N19" t="s">
        <v>845</v>
      </c>
      <c r="O19" t="s">
        <v>844</v>
      </c>
      <c r="P19">
        <v>0</v>
      </c>
      <c r="Q19" t="s">
        <v>844</v>
      </c>
      <c r="R19">
        <v>275</v>
      </c>
      <c r="S19">
        <v>67</v>
      </c>
      <c r="T19">
        <v>0.24363636363636401</v>
      </c>
      <c r="U19" s="7" t="s">
        <v>846</v>
      </c>
      <c r="V19">
        <v>67</v>
      </c>
      <c r="W19" s="7" t="s">
        <v>846</v>
      </c>
      <c r="X19">
        <v>36</v>
      </c>
      <c r="Y19" s="7" t="s">
        <v>856</v>
      </c>
    </row>
    <row r="20" spans="1:25" ht="30" x14ac:dyDescent="0.25">
      <c r="A20" t="s">
        <v>610</v>
      </c>
      <c r="B20">
        <v>2006</v>
      </c>
      <c r="C20" t="s">
        <v>807</v>
      </c>
      <c r="D20">
        <v>2</v>
      </c>
      <c r="E20">
        <v>2</v>
      </c>
      <c r="F20">
        <v>2</v>
      </c>
      <c r="G20">
        <v>710</v>
      </c>
      <c r="H20" t="s">
        <v>841</v>
      </c>
      <c r="I20" t="s">
        <v>842</v>
      </c>
      <c r="J20">
        <v>2005</v>
      </c>
      <c r="K20" t="s">
        <v>843</v>
      </c>
      <c r="L20" t="s">
        <v>860</v>
      </c>
      <c r="M20" t="s">
        <v>807</v>
      </c>
      <c r="N20" t="s">
        <v>807</v>
      </c>
      <c r="O20">
        <v>494.81722452655401</v>
      </c>
      <c r="P20">
        <v>576.00659223293803</v>
      </c>
      <c r="Q20">
        <v>0.23</v>
      </c>
      <c r="R20">
        <v>275</v>
      </c>
      <c r="S20">
        <v>79</v>
      </c>
      <c r="T20">
        <v>0.28727272727272701</v>
      </c>
      <c r="U20" s="7" t="s">
        <v>858</v>
      </c>
      <c r="V20">
        <v>79</v>
      </c>
      <c r="W20" s="7" t="s">
        <v>858</v>
      </c>
      <c r="X20">
        <v>36</v>
      </c>
      <c r="Y20" s="7" t="s">
        <v>856</v>
      </c>
    </row>
    <row r="21" spans="1:25" ht="45" x14ac:dyDescent="0.25">
      <c r="A21" t="s">
        <v>612</v>
      </c>
      <c r="B21">
        <v>2006</v>
      </c>
      <c r="C21" t="s">
        <v>810</v>
      </c>
      <c r="D21">
        <v>3</v>
      </c>
      <c r="E21">
        <v>3</v>
      </c>
      <c r="F21">
        <v>3</v>
      </c>
      <c r="G21">
        <v>710</v>
      </c>
      <c r="H21" t="s">
        <v>841</v>
      </c>
      <c r="I21" t="s">
        <v>842</v>
      </c>
      <c r="J21">
        <v>2004</v>
      </c>
      <c r="K21" t="s">
        <v>855</v>
      </c>
      <c r="L21" t="s">
        <v>844</v>
      </c>
      <c r="M21" t="s">
        <v>810</v>
      </c>
      <c r="N21" t="s">
        <v>810</v>
      </c>
      <c r="O21" t="s">
        <v>844</v>
      </c>
      <c r="P21">
        <v>0</v>
      </c>
      <c r="Q21" t="s">
        <v>844</v>
      </c>
      <c r="R21">
        <v>275</v>
      </c>
      <c r="S21">
        <v>16</v>
      </c>
      <c r="T21">
        <v>5.8181818181818203E-2</v>
      </c>
      <c r="U21" s="7" t="s">
        <v>861</v>
      </c>
      <c r="V21">
        <v>16</v>
      </c>
      <c r="W21" s="7" t="s">
        <v>861</v>
      </c>
      <c r="X21">
        <v>36</v>
      </c>
      <c r="Y21" s="7" t="s">
        <v>856</v>
      </c>
    </row>
    <row r="22" spans="1:25" ht="30" x14ac:dyDescent="0.25">
      <c r="A22" t="s">
        <v>614</v>
      </c>
      <c r="B22">
        <v>2006</v>
      </c>
      <c r="C22" t="s">
        <v>807</v>
      </c>
      <c r="D22">
        <v>2</v>
      </c>
      <c r="E22">
        <v>2</v>
      </c>
      <c r="F22">
        <v>2</v>
      </c>
      <c r="G22">
        <v>660</v>
      </c>
      <c r="H22" t="s">
        <v>841</v>
      </c>
      <c r="I22" t="s">
        <v>842</v>
      </c>
      <c r="J22">
        <v>2005</v>
      </c>
      <c r="K22" t="s">
        <v>843</v>
      </c>
      <c r="L22" t="s">
        <v>860</v>
      </c>
      <c r="M22" t="s">
        <v>807</v>
      </c>
      <c r="N22" t="s">
        <v>807</v>
      </c>
      <c r="O22">
        <v>479.84900024820899</v>
      </c>
      <c r="P22">
        <v>568.721735955187</v>
      </c>
      <c r="Q22">
        <v>0.25</v>
      </c>
      <c r="R22">
        <v>275</v>
      </c>
      <c r="S22">
        <v>79</v>
      </c>
      <c r="T22">
        <v>0.28727272727272701</v>
      </c>
      <c r="U22" s="7" t="s">
        <v>858</v>
      </c>
      <c r="V22">
        <v>79</v>
      </c>
      <c r="W22" s="7" t="s">
        <v>858</v>
      </c>
      <c r="X22">
        <v>36</v>
      </c>
      <c r="Y22" s="7" t="s">
        <v>856</v>
      </c>
    </row>
    <row r="23" spans="1:25" ht="45" x14ac:dyDescent="0.25">
      <c r="A23" t="s">
        <v>616</v>
      </c>
      <c r="B23">
        <v>2006</v>
      </c>
      <c r="C23" t="s">
        <v>810</v>
      </c>
      <c r="D23">
        <v>3</v>
      </c>
      <c r="E23">
        <v>3</v>
      </c>
      <c r="F23">
        <v>3</v>
      </c>
      <c r="G23">
        <v>740</v>
      </c>
      <c r="H23" t="s">
        <v>841</v>
      </c>
      <c r="I23" t="s">
        <v>842</v>
      </c>
      <c r="J23">
        <v>2004</v>
      </c>
      <c r="K23" t="s">
        <v>855</v>
      </c>
      <c r="L23" t="s">
        <v>844</v>
      </c>
      <c r="M23" t="s">
        <v>810</v>
      </c>
      <c r="N23" t="s">
        <v>810</v>
      </c>
      <c r="O23" t="s">
        <v>844</v>
      </c>
      <c r="P23">
        <v>0</v>
      </c>
      <c r="Q23" t="s">
        <v>844</v>
      </c>
      <c r="R23">
        <v>275</v>
      </c>
      <c r="S23">
        <v>16</v>
      </c>
      <c r="T23">
        <v>5.8181818181818203E-2</v>
      </c>
      <c r="U23" s="7" t="s">
        <v>861</v>
      </c>
      <c r="V23">
        <v>16</v>
      </c>
      <c r="W23" s="7" t="s">
        <v>861</v>
      </c>
      <c r="X23">
        <v>36</v>
      </c>
      <c r="Y23" s="7" t="s">
        <v>856</v>
      </c>
    </row>
    <row r="24" spans="1:25" ht="45" x14ac:dyDescent="0.25">
      <c r="A24" t="s">
        <v>618</v>
      </c>
      <c r="B24">
        <v>2006</v>
      </c>
      <c r="C24" t="s">
        <v>805</v>
      </c>
      <c r="D24">
        <v>3</v>
      </c>
      <c r="E24">
        <v>3</v>
      </c>
      <c r="F24">
        <v>3</v>
      </c>
      <c r="G24">
        <v>670</v>
      </c>
      <c r="H24" t="s">
        <v>852</v>
      </c>
      <c r="I24" t="s">
        <v>842</v>
      </c>
      <c r="J24">
        <v>2004</v>
      </c>
      <c r="K24" t="s">
        <v>855</v>
      </c>
      <c r="L24" t="s">
        <v>844</v>
      </c>
      <c r="M24" t="s">
        <v>853</v>
      </c>
      <c r="N24" t="s">
        <v>849</v>
      </c>
      <c r="O24" t="s">
        <v>844</v>
      </c>
      <c r="P24">
        <v>0</v>
      </c>
      <c r="Q24" t="s">
        <v>844</v>
      </c>
      <c r="R24">
        <v>275</v>
      </c>
      <c r="S24">
        <v>34</v>
      </c>
      <c r="T24">
        <v>0.410909090909091</v>
      </c>
      <c r="U24" s="7" t="s">
        <v>854</v>
      </c>
      <c r="V24">
        <v>113</v>
      </c>
      <c r="W24" s="7" t="s">
        <v>851</v>
      </c>
      <c r="X24">
        <v>36</v>
      </c>
      <c r="Y24" s="7" t="s">
        <v>856</v>
      </c>
    </row>
    <row r="25" spans="1:25" ht="30" x14ac:dyDescent="0.25">
      <c r="A25" t="s">
        <v>620</v>
      </c>
      <c r="B25">
        <v>2006</v>
      </c>
      <c r="C25" t="s">
        <v>803</v>
      </c>
      <c r="D25" t="s">
        <v>844</v>
      </c>
      <c r="E25" t="s">
        <v>844</v>
      </c>
      <c r="F25" t="s">
        <v>844</v>
      </c>
      <c r="G25">
        <v>745</v>
      </c>
      <c r="H25" t="s">
        <v>841</v>
      </c>
      <c r="I25" t="s">
        <v>842</v>
      </c>
      <c r="J25" t="s">
        <v>844</v>
      </c>
      <c r="K25" t="s">
        <v>844</v>
      </c>
      <c r="L25" t="s">
        <v>844</v>
      </c>
      <c r="M25" t="s">
        <v>845</v>
      </c>
      <c r="N25" t="s">
        <v>845</v>
      </c>
      <c r="O25" t="s">
        <v>844</v>
      </c>
      <c r="P25">
        <v>0</v>
      </c>
      <c r="Q25" t="s">
        <v>844</v>
      </c>
      <c r="R25">
        <v>275</v>
      </c>
      <c r="S25">
        <v>67</v>
      </c>
      <c r="T25">
        <v>0.24363636363636401</v>
      </c>
      <c r="U25" s="7" t="s">
        <v>846</v>
      </c>
      <c r="V25">
        <v>67</v>
      </c>
      <c r="W25" s="7" t="s">
        <v>846</v>
      </c>
      <c r="X25">
        <v>36</v>
      </c>
      <c r="Y25" s="7" t="s">
        <v>856</v>
      </c>
    </row>
    <row r="26" spans="1:25" ht="45" x14ac:dyDescent="0.25">
      <c r="A26" t="s">
        <v>622</v>
      </c>
      <c r="B26">
        <v>2006</v>
      </c>
      <c r="C26" t="s">
        <v>808</v>
      </c>
      <c r="D26">
        <v>4</v>
      </c>
      <c r="E26">
        <v>4</v>
      </c>
      <c r="F26">
        <v>4</v>
      </c>
      <c r="G26">
        <v>830</v>
      </c>
      <c r="H26" t="s">
        <v>859</v>
      </c>
      <c r="I26" t="s">
        <v>842</v>
      </c>
      <c r="J26">
        <v>2003</v>
      </c>
      <c r="K26" t="s">
        <v>843</v>
      </c>
      <c r="L26" t="s">
        <v>844</v>
      </c>
      <c r="M26" t="s">
        <v>853</v>
      </c>
      <c r="N26" t="s">
        <v>849</v>
      </c>
      <c r="O26" t="s">
        <v>844</v>
      </c>
      <c r="P26">
        <v>0</v>
      </c>
      <c r="Q26" t="s">
        <v>844</v>
      </c>
      <c r="R26">
        <v>275</v>
      </c>
      <c r="S26">
        <v>34</v>
      </c>
      <c r="T26">
        <v>0.410909090909091</v>
      </c>
      <c r="U26" s="7" t="s">
        <v>854</v>
      </c>
      <c r="V26">
        <v>113</v>
      </c>
      <c r="W26" s="7" t="s">
        <v>851</v>
      </c>
      <c r="X26">
        <v>36</v>
      </c>
      <c r="Y26" s="7" t="s">
        <v>856</v>
      </c>
    </row>
    <row r="27" spans="1:25" ht="30" x14ac:dyDescent="0.25">
      <c r="A27" t="s">
        <v>624</v>
      </c>
      <c r="B27">
        <v>2006</v>
      </c>
      <c r="C27" t="s">
        <v>807</v>
      </c>
      <c r="D27">
        <v>3</v>
      </c>
      <c r="E27">
        <v>3</v>
      </c>
      <c r="F27">
        <v>3</v>
      </c>
      <c r="G27" t="s">
        <v>844</v>
      </c>
      <c r="H27" t="s">
        <v>852</v>
      </c>
      <c r="I27" t="s">
        <v>842</v>
      </c>
      <c r="J27">
        <v>2004</v>
      </c>
      <c r="K27" t="s">
        <v>855</v>
      </c>
      <c r="L27" t="s">
        <v>860</v>
      </c>
      <c r="M27" t="s">
        <v>807</v>
      </c>
      <c r="N27" t="s">
        <v>807</v>
      </c>
      <c r="O27">
        <v>470.67617587303101</v>
      </c>
      <c r="P27">
        <v>560.07630247348197</v>
      </c>
      <c r="Q27">
        <v>0.26</v>
      </c>
      <c r="R27">
        <v>275</v>
      </c>
      <c r="S27">
        <v>79</v>
      </c>
      <c r="T27">
        <v>0.28727272727272701</v>
      </c>
      <c r="U27" s="7" t="s">
        <v>858</v>
      </c>
      <c r="V27">
        <v>79</v>
      </c>
      <c r="W27" s="7" t="s">
        <v>858</v>
      </c>
      <c r="X27">
        <v>36</v>
      </c>
      <c r="Y27" s="7" t="s">
        <v>856</v>
      </c>
    </row>
    <row r="28" spans="1:25" ht="30" x14ac:dyDescent="0.25">
      <c r="A28" t="s">
        <v>626</v>
      </c>
      <c r="B28">
        <v>2006</v>
      </c>
      <c r="C28" t="s">
        <v>807</v>
      </c>
      <c r="D28">
        <v>2</v>
      </c>
      <c r="E28">
        <v>2</v>
      </c>
      <c r="F28">
        <v>2</v>
      </c>
      <c r="G28">
        <v>710</v>
      </c>
      <c r="H28" t="s">
        <v>859</v>
      </c>
      <c r="I28" t="s">
        <v>842</v>
      </c>
      <c r="J28">
        <v>2005</v>
      </c>
      <c r="K28" t="s">
        <v>843</v>
      </c>
      <c r="L28" t="s">
        <v>857</v>
      </c>
      <c r="M28" t="s">
        <v>807</v>
      </c>
      <c r="N28" t="s">
        <v>807</v>
      </c>
      <c r="O28">
        <v>261.769202397595</v>
      </c>
      <c r="P28">
        <v>388.12019820005298</v>
      </c>
      <c r="Q28">
        <v>0.47</v>
      </c>
      <c r="R28">
        <v>275</v>
      </c>
      <c r="S28">
        <v>79</v>
      </c>
      <c r="T28">
        <v>0.28727272727272701</v>
      </c>
      <c r="U28" s="7" t="s">
        <v>858</v>
      </c>
      <c r="V28">
        <v>79</v>
      </c>
      <c r="W28" s="7" t="s">
        <v>858</v>
      </c>
      <c r="X28">
        <v>36</v>
      </c>
      <c r="Y28" s="7" t="s">
        <v>856</v>
      </c>
    </row>
    <row r="29" spans="1:25" ht="30" x14ac:dyDescent="0.25">
      <c r="A29" t="s">
        <v>628</v>
      </c>
      <c r="B29">
        <v>2006</v>
      </c>
      <c r="C29" t="s">
        <v>803</v>
      </c>
      <c r="D29">
        <v>3</v>
      </c>
      <c r="E29">
        <v>3</v>
      </c>
      <c r="F29">
        <v>3</v>
      </c>
      <c r="G29">
        <v>725</v>
      </c>
      <c r="H29" t="s">
        <v>841</v>
      </c>
      <c r="I29" t="s">
        <v>842</v>
      </c>
      <c r="J29">
        <v>2004</v>
      </c>
      <c r="K29" t="s">
        <v>855</v>
      </c>
      <c r="L29" t="s">
        <v>844</v>
      </c>
      <c r="M29" t="s">
        <v>845</v>
      </c>
      <c r="N29" t="s">
        <v>845</v>
      </c>
      <c r="O29" t="s">
        <v>844</v>
      </c>
      <c r="P29">
        <v>0</v>
      </c>
      <c r="Q29" t="s">
        <v>844</v>
      </c>
      <c r="R29">
        <v>275</v>
      </c>
      <c r="S29">
        <v>67</v>
      </c>
      <c r="T29">
        <v>0.24363636363636401</v>
      </c>
      <c r="U29" s="7" t="s">
        <v>846</v>
      </c>
      <c r="V29">
        <v>67</v>
      </c>
      <c r="W29" s="7" t="s">
        <v>846</v>
      </c>
      <c r="X29">
        <v>36</v>
      </c>
      <c r="Y29" s="7" t="s">
        <v>856</v>
      </c>
    </row>
    <row r="30" spans="1:25" ht="30" x14ac:dyDescent="0.25">
      <c r="A30" t="s">
        <v>630</v>
      </c>
      <c r="B30">
        <v>2006</v>
      </c>
      <c r="C30" t="s">
        <v>803</v>
      </c>
      <c r="D30">
        <v>3</v>
      </c>
      <c r="E30">
        <v>3</v>
      </c>
      <c r="F30">
        <v>3</v>
      </c>
      <c r="G30">
        <v>765</v>
      </c>
      <c r="H30" t="s">
        <v>841</v>
      </c>
      <c r="I30" t="s">
        <v>842</v>
      </c>
      <c r="J30">
        <v>2004</v>
      </c>
      <c r="K30" t="s">
        <v>855</v>
      </c>
      <c r="L30" t="s">
        <v>844</v>
      </c>
      <c r="M30" t="s">
        <v>845</v>
      </c>
      <c r="N30" t="s">
        <v>845</v>
      </c>
      <c r="O30" t="s">
        <v>844</v>
      </c>
      <c r="P30">
        <v>0</v>
      </c>
      <c r="Q30" t="s">
        <v>844</v>
      </c>
      <c r="R30">
        <v>275</v>
      </c>
      <c r="S30">
        <v>67</v>
      </c>
      <c r="T30">
        <v>0.24363636363636401</v>
      </c>
      <c r="U30" s="7" t="s">
        <v>846</v>
      </c>
      <c r="V30">
        <v>67</v>
      </c>
      <c r="W30" s="7" t="s">
        <v>846</v>
      </c>
      <c r="X30">
        <v>36</v>
      </c>
      <c r="Y30" s="7" t="s">
        <v>856</v>
      </c>
    </row>
    <row r="31" spans="1:25" ht="30" x14ac:dyDescent="0.25">
      <c r="A31" t="s">
        <v>632</v>
      </c>
      <c r="B31">
        <v>2006</v>
      </c>
      <c r="C31" t="s">
        <v>807</v>
      </c>
      <c r="D31">
        <v>3</v>
      </c>
      <c r="E31">
        <v>3</v>
      </c>
      <c r="F31">
        <v>3</v>
      </c>
      <c r="G31">
        <v>780</v>
      </c>
      <c r="H31" t="s">
        <v>841</v>
      </c>
      <c r="I31" t="s">
        <v>842</v>
      </c>
      <c r="J31">
        <v>2004</v>
      </c>
      <c r="K31" t="s">
        <v>855</v>
      </c>
      <c r="L31" t="s">
        <v>857</v>
      </c>
      <c r="M31" t="s">
        <v>807</v>
      </c>
      <c r="N31" t="s">
        <v>807</v>
      </c>
      <c r="O31">
        <v>393.66803910452899</v>
      </c>
      <c r="P31">
        <v>502.14381463829602</v>
      </c>
      <c r="Q31">
        <v>0.36</v>
      </c>
      <c r="R31">
        <v>275</v>
      </c>
      <c r="S31">
        <v>79</v>
      </c>
      <c r="T31">
        <v>0.28727272727272701</v>
      </c>
      <c r="U31" s="7" t="s">
        <v>858</v>
      </c>
      <c r="V31">
        <v>79</v>
      </c>
      <c r="W31" s="7" t="s">
        <v>858</v>
      </c>
      <c r="X31">
        <v>36</v>
      </c>
      <c r="Y31" s="7" t="s">
        <v>856</v>
      </c>
    </row>
    <row r="32" spans="1:25" ht="30" x14ac:dyDescent="0.25">
      <c r="A32" t="s">
        <v>634</v>
      </c>
      <c r="B32">
        <v>2006</v>
      </c>
      <c r="C32" t="s">
        <v>807</v>
      </c>
      <c r="D32">
        <v>3</v>
      </c>
      <c r="E32">
        <v>3</v>
      </c>
      <c r="F32">
        <v>3</v>
      </c>
      <c r="G32">
        <v>795</v>
      </c>
      <c r="H32" t="s">
        <v>859</v>
      </c>
      <c r="I32" t="s">
        <v>842</v>
      </c>
      <c r="J32">
        <v>2004</v>
      </c>
      <c r="K32" t="s">
        <v>855</v>
      </c>
      <c r="L32" t="s">
        <v>857</v>
      </c>
      <c r="M32" t="s">
        <v>807</v>
      </c>
      <c r="N32" t="s">
        <v>807</v>
      </c>
      <c r="O32">
        <v>362.66522750298998</v>
      </c>
      <c r="P32">
        <v>464.27071931324599</v>
      </c>
      <c r="Q32">
        <v>0.42</v>
      </c>
      <c r="R32">
        <v>275</v>
      </c>
      <c r="S32">
        <v>79</v>
      </c>
      <c r="T32">
        <v>0.28727272727272701</v>
      </c>
      <c r="U32" s="7" t="s">
        <v>858</v>
      </c>
      <c r="V32">
        <v>79</v>
      </c>
      <c r="W32" s="7" t="s">
        <v>858</v>
      </c>
      <c r="X32">
        <v>36</v>
      </c>
      <c r="Y32" s="7" t="s">
        <v>856</v>
      </c>
    </row>
    <row r="33" spans="1:25" ht="30" x14ac:dyDescent="0.25">
      <c r="A33" t="s">
        <v>636</v>
      </c>
      <c r="B33">
        <v>2006</v>
      </c>
      <c r="C33" t="s">
        <v>807</v>
      </c>
      <c r="D33">
        <v>4</v>
      </c>
      <c r="E33">
        <v>4</v>
      </c>
      <c r="F33">
        <v>4</v>
      </c>
      <c r="G33">
        <v>790</v>
      </c>
      <c r="H33" t="s">
        <v>841</v>
      </c>
      <c r="I33" t="s">
        <v>842</v>
      </c>
      <c r="J33">
        <v>2003</v>
      </c>
      <c r="K33" t="s">
        <v>843</v>
      </c>
      <c r="L33" t="s">
        <v>860</v>
      </c>
      <c r="M33" t="s">
        <v>807</v>
      </c>
      <c r="N33" t="s">
        <v>807</v>
      </c>
      <c r="O33">
        <v>566.98363633951999</v>
      </c>
      <c r="P33">
        <v>660.93896681566105</v>
      </c>
      <c r="Q33">
        <v>0.28000000000000003</v>
      </c>
      <c r="R33">
        <v>275</v>
      </c>
      <c r="S33">
        <v>79</v>
      </c>
      <c r="T33">
        <v>0.28727272727272701</v>
      </c>
      <c r="U33" s="7" t="s">
        <v>858</v>
      </c>
      <c r="V33">
        <v>79</v>
      </c>
      <c r="W33" s="7" t="s">
        <v>858</v>
      </c>
      <c r="X33">
        <v>36</v>
      </c>
      <c r="Y33" s="7" t="s">
        <v>856</v>
      </c>
    </row>
    <row r="34" spans="1:25" ht="30" x14ac:dyDescent="0.25">
      <c r="A34" t="s">
        <v>638</v>
      </c>
      <c r="B34">
        <v>2006</v>
      </c>
      <c r="C34" t="s">
        <v>806</v>
      </c>
      <c r="D34">
        <v>3</v>
      </c>
      <c r="E34">
        <v>3</v>
      </c>
      <c r="F34">
        <v>3</v>
      </c>
      <c r="G34">
        <v>755</v>
      </c>
      <c r="H34" t="s">
        <v>841</v>
      </c>
      <c r="I34" t="s">
        <v>842</v>
      </c>
      <c r="J34">
        <v>2004</v>
      </c>
      <c r="K34" t="s">
        <v>855</v>
      </c>
      <c r="L34" t="s">
        <v>844</v>
      </c>
      <c r="M34" t="s">
        <v>845</v>
      </c>
      <c r="N34" t="s">
        <v>845</v>
      </c>
      <c r="O34" t="s">
        <v>844</v>
      </c>
      <c r="P34">
        <v>0</v>
      </c>
      <c r="Q34" t="s">
        <v>844</v>
      </c>
      <c r="R34">
        <v>275</v>
      </c>
      <c r="S34">
        <v>67</v>
      </c>
      <c r="T34">
        <v>0.24363636363636401</v>
      </c>
      <c r="U34" s="7" t="s">
        <v>846</v>
      </c>
      <c r="V34">
        <v>67</v>
      </c>
      <c r="W34" s="7" t="s">
        <v>846</v>
      </c>
      <c r="X34">
        <v>36</v>
      </c>
      <c r="Y34" s="7" t="s">
        <v>856</v>
      </c>
    </row>
    <row r="35" spans="1:25" ht="30" x14ac:dyDescent="0.25">
      <c r="A35" t="s">
        <v>640</v>
      </c>
      <c r="B35">
        <v>2006</v>
      </c>
      <c r="C35" t="s">
        <v>806</v>
      </c>
      <c r="D35">
        <v>3</v>
      </c>
      <c r="E35">
        <v>3</v>
      </c>
      <c r="F35">
        <v>3</v>
      </c>
      <c r="G35">
        <v>700</v>
      </c>
      <c r="H35" t="s">
        <v>841</v>
      </c>
      <c r="I35" t="s">
        <v>842</v>
      </c>
      <c r="J35">
        <v>2004</v>
      </c>
      <c r="K35" t="s">
        <v>855</v>
      </c>
      <c r="L35" t="s">
        <v>844</v>
      </c>
      <c r="M35" t="s">
        <v>845</v>
      </c>
      <c r="N35" t="s">
        <v>845</v>
      </c>
      <c r="O35" t="s">
        <v>844</v>
      </c>
      <c r="P35">
        <v>0</v>
      </c>
      <c r="Q35" t="s">
        <v>844</v>
      </c>
      <c r="R35">
        <v>275</v>
      </c>
      <c r="S35">
        <v>67</v>
      </c>
      <c r="T35">
        <v>0.24363636363636401</v>
      </c>
      <c r="U35" s="7" t="s">
        <v>846</v>
      </c>
      <c r="V35">
        <v>67</v>
      </c>
      <c r="W35" s="7" t="s">
        <v>846</v>
      </c>
      <c r="X35">
        <v>36</v>
      </c>
      <c r="Y35" s="7" t="s">
        <v>856</v>
      </c>
    </row>
    <row r="36" spans="1:25" ht="30" x14ac:dyDescent="0.25">
      <c r="A36" t="s">
        <v>642</v>
      </c>
      <c r="B36">
        <v>2006</v>
      </c>
      <c r="C36" t="s">
        <v>807</v>
      </c>
      <c r="D36">
        <v>3</v>
      </c>
      <c r="E36">
        <v>3</v>
      </c>
      <c r="F36">
        <v>3</v>
      </c>
      <c r="G36">
        <v>835</v>
      </c>
      <c r="H36" t="s">
        <v>859</v>
      </c>
      <c r="I36" t="s">
        <v>842</v>
      </c>
      <c r="J36">
        <v>2004</v>
      </c>
      <c r="K36" t="s">
        <v>855</v>
      </c>
      <c r="L36" t="s">
        <v>860</v>
      </c>
      <c r="M36" t="s">
        <v>807</v>
      </c>
      <c r="N36" t="s">
        <v>807</v>
      </c>
      <c r="O36">
        <v>566.257798644216</v>
      </c>
      <c r="P36">
        <v>670.197076929795</v>
      </c>
      <c r="Q36">
        <v>0.28999999999999998</v>
      </c>
      <c r="R36">
        <v>275</v>
      </c>
      <c r="S36">
        <v>79</v>
      </c>
      <c r="T36">
        <v>0.28727272727272701</v>
      </c>
      <c r="U36" s="7" t="s">
        <v>858</v>
      </c>
      <c r="V36">
        <v>79</v>
      </c>
      <c r="W36" s="7" t="s">
        <v>858</v>
      </c>
      <c r="X36">
        <v>36</v>
      </c>
      <c r="Y36" s="7" t="s">
        <v>856</v>
      </c>
    </row>
    <row r="37" spans="1:25" ht="30" x14ac:dyDescent="0.25">
      <c r="A37" t="s">
        <v>644</v>
      </c>
      <c r="B37">
        <v>2006</v>
      </c>
      <c r="C37" t="s">
        <v>807</v>
      </c>
      <c r="D37">
        <v>3</v>
      </c>
      <c r="E37">
        <v>3</v>
      </c>
      <c r="F37">
        <v>3</v>
      </c>
      <c r="G37">
        <v>820</v>
      </c>
      <c r="H37" t="s">
        <v>859</v>
      </c>
      <c r="I37" t="s">
        <v>842</v>
      </c>
      <c r="J37">
        <v>2004</v>
      </c>
      <c r="K37" t="s">
        <v>855</v>
      </c>
      <c r="L37" t="s">
        <v>860</v>
      </c>
      <c r="M37" t="s">
        <v>807</v>
      </c>
      <c r="N37" t="s">
        <v>807</v>
      </c>
      <c r="O37">
        <v>491.83192404954502</v>
      </c>
      <c r="P37">
        <v>579.09021931747395</v>
      </c>
      <c r="Q37">
        <v>0.35</v>
      </c>
      <c r="R37">
        <v>275</v>
      </c>
      <c r="S37">
        <v>79</v>
      </c>
      <c r="T37">
        <v>0.28727272727272701</v>
      </c>
      <c r="U37" s="7" t="s">
        <v>858</v>
      </c>
      <c r="V37">
        <v>79</v>
      </c>
      <c r="W37" s="7" t="s">
        <v>858</v>
      </c>
      <c r="X37">
        <v>36</v>
      </c>
      <c r="Y37" s="7" t="s">
        <v>856</v>
      </c>
    </row>
    <row r="38" spans="1:25" ht="30" x14ac:dyDescent="0.25">
      <c r="A38" t="s">
        <v>646</v>
      </c>
      <c r="B38">
        <v>2006</v>
      </c>
      <c r="C38" t="s">
        <v>807</v>
      </c>
      <c r="D38">
        <v>3</v>
      </c>
      <c r="E38">
        <v>3</v>
      </c>
      <c r="F38">
        <v>3</v>
      </c>
      <c r="G38">
        <v>510</v>
      </c>
      <c r="H38" t="s">
        <v>852</v>
      </c>
      <c r="I38" t="s">
        <v>842</v>
      </c>
      <c r="J38">
        <v>2004</v>
      </c>
      <c r="K38" t="s">
        <v>855</v>
      </c>
      <c r="L38" t="s">
        <v>860</v>
      </c>
      <c r="M38" t="s">
        <v>807</v>
      </c>
      <c r="N38" t="s">
        <v>807</v>
      </c>
      <c r="O38">
        <v>549.74747651633595</v>
      </c>
      <c r="P38">
        <v>641.561336638591</v>
      </c>
      <c r="Q38">
        <v>0.22</v>
      </c>
      <c r="R38">
        <v>275</v>
      </c>
      <c r="S38">
        <v>79</v>
      </c>
      <c r="T38">
        <v>0.28727272727272701</v>
      </c>
      <c r="U38" s="7" t="s">
        <v>858</v>
      </c>
      <c r="V38">
        <v>79</v>
      </c>
      <c r="W38" s="7" t="s">
        <v>858</v>
      </c>
      <c r="X38">
        <v>36</v>
      </c>
      <c r="Y38" s="7" t="s">
        <v>856</v>
      </c>
    </row>
    <row r="39" spans="1:25" ht="30" x14ac:dyDescent="0.25">
      <c r="A39" t="s">
        <v>648</v>
      </c>
      <c r="B39">
        <v>2006</v>
      </c>
      <c r="C39" t="s">
        <v>803</v>
      </c>
      <c r="D39">
        <v>3</v>
      </c>
      <c r="E39">
        <v>3</v>
      </c>
      <c r="F39">
        <v>3</v>
      </c>
      <c r="G39" t="s">
        <v>844</v>
      </c>
      <c r="H39" t="s">
        <v>852</v>
      </c>
      <c r="I39" t="s">
        <v>842</v>
      </c>
      <c r="J39">
        <v>2004</v>
      </c>
      <c r="K39" t="s">
        <v>855</v>
      </c>
      <c r="L39" t="s">
        <v>844</v>
      </c>
      <c r="M39" t="s">
        <v>845</v>
      </c>
      <c r="N39" t="s">
        <v>845</v>
      </c>
      <c r="O39" t="s">
        <v>844</v>
      </c>
      <c r="P39">
        <v>0</v>
      </c>
      <c r="Q39" t="s">
        <v>844</v>
      </c>
      <c r="R39">
        <v>275</v>
      </c>
      <c r="S39">
        <v>67</v>
      </c>
      <c r="T39">
        <v>0.24363636363636401</v>
      </c>
      <c r="U39" s="7" t="s">
        <v>846</v>
      </c>
      <c r="V39">
        <v>67</v>
      </c>
      <c r="W39" s="7" t="s">
        <v>846</v>
      </c>
      <c r="X39">
        <v>36</v>
      </c>
      <c r="Y39" s="7" t="s">
        <v>856</v>
      </c>
    </row>
    <row r="40" spans="1:25" ht="30" x14ac:dyDescent="0.25">
      <c r="A40" t="s">
        <v>650</v>
      </c>
      <c r="B40">
        <v>2006</v>
      </c>
      <c r="C40" t="s">
        <v>807</v>
      </c>
      <c r="D40">
        <v>3</v>
      </c>
      <c r="E40">
        <v>3</v>
      </c>
      <c r="F40">
        <v>3</v>
      </c>
      <c r="G40" t="s">
        <v>844</v>
      </c>
      <c r="H40" t="s">
        <v>841</v>
      </c>
      <c r="I40" t="s">
        <v>842</v>
      </c>
      <c r="J40">
        <v>2004</v>
      </c>
      <c r="K40" t="s">
        <v>855</v>
      </c>
      <c r="L40" t="s">
        <v>860</v>
      </c>
      <c r="M40" t="s">
        <v>807</v>
      </c>
      <c r="N40" t="s">
        <v>807</v>
      </c>
      <c r="O40">
        <v>453.16571406591697</v>
      </c>
      <c r="P40">
        <v>579.70389240471604</v>
      </c>
      <c r="Q40">
        <v>0.35</v>
      </c>
      <c r="R40">
        <v>275</v>
      </c>
      <c r="S40">
        <v>79</v>
      </c>
      <c r="T40">
        <v>0.28727272727272701</v>
      </c>
      <c r="U40" s="7" t="s">
        <v>858</v>
      </c>
      <c r="V40">
        <v>79</v>
      </c>
      <c r="W40" s="7" t="s">
        <v>858</v>
      </c>
      <c r="X40">
        <v>36</v>
      </c>
      <c r="Y40" s="7" t="s">
        <v>856</v>
      </c>
    </row>
    <row r="41" spans="1:25" ht="30" x14ac:dyDescent="0.25">
      <c r="A41" t="s">
        <v>652</v>
      </c>
      <c r="B41">
        <v>2006</v>
      </c>
      <c r="C41" t="s">
        <v>807</v>
      </c>
      <c r="D41">
        <v>3</v>
      </c>
      <c r="E41">
        <v>3</v>
      </c>
      <c r="F41">
        <v>3</v>
      </c>
      <c r="G41">
        <v>800</v>
      </c>
      <c r="H41" t="s">
        <v>841</v>
      </c>
      <c r="I41" t="s">
        <v>842</v>
      </c>
      <c r="J41">
        <v>2004</v>
      </c>
      <c r="K41" t="s">
        <v>855</v>
      </c>
      <c r="L41" t="s">
        <v>860</v>
      </c>
      <c r="M41" t="s">
        <v>807</v>
      </c>
      <c r="N41" t="s">
        <v>807</v>
      </c>
      <c r="O41">
        <v>554.71445795786804</v>
      </c>
      <c r="P41">
        <v>631.14567752296796</v>
      </c>
      <c r="Q41">
        <v>0.16</v>
      </c>
      <c r="R41">
        <v>275</v>
      </c>
      <c r="S41">
        <v>79</v>
      </c>
      <c r="T41">
        <v>0.28727272727272701</v>
      </c>
      <c r="U41" s="7" t="s">
        <v>858</v>
      </c>
      <c r="V41">
        <v>79</v>
      </c>
      <c r="W41" s="7" t="s">
        <v>858</v>
      </c>
      <c r="X41">
        <v>36</v>
      </c>
      <c r="Y41" s="7" t="s">
        <v>856</v>
      </c>
    </row>
    <row r="42" spans="1:25" ht="30" x14ac:dyDescent="0.25">
      <c r="A42" t="s">
        <v>656</v>
      </c>
      <c r="B42">
        <v>2007</v>
      </c>
      <c r="C42" t="s">
        <v>806</v>
      </c>
      <c r="D42">
        <v>3</v>
      </c>
      <c r="E42">
        <v>3</v>
      </c>
      <c r="F42">
        <v>3</v>
      </c>
      <c r="G42">
        <v>720</v>
      </c>
      <c r="H42" t="s">
        <v>841</v>
      </c>
      <c r="I42" t="s">
        <v>842</v>
      </c>
      <c r="J42">
        <v>2005</v>
      </c>
      <c r="K42" t="s">
        <v>843</v>
      </c>
      <c r="L42" t="s">
        <v>844</v>
      </c>
      <c r="M42" t="s">
        <v>845</v>
      </c>
      <c r="N42" t="s">
        <v>845</v>
      </c>
      <c r="O42" t="s">
        <v>844</v>
      </c>
      <c r="P42">
        <v>0</v>
      </c>
      <c r="Q42" t="s">
        <v>844</v>
      </c>
      <c r="R42">
        <v>275</v>
      </c>
      <c r="S42">
        <v>67</v>
      </c>
      <c r="T42">
        <v>0.24363636363636401</v>
      </c>
      <c r="U42" s="7" t="s">
        <v>846</v>
      </c>
      <c r="V42">
        <v>67</v>
      </c>
      <c r="W42" s="7" t="s">
        <v>846</v>
      </c>
      <c r="X42">
        <v>33</v>
      </c>
      <c r="Y42" s="7" t="s">
        <v>862</v>
      </c>
    </row>
    <row r="43" spans="1:25" ht="30" x14ac:dyDescent="0.25">
      <c r="A43" t="s">
        <v>658</v>
      </c>
      <c r="B43">
        <v>2007</v>
      </c>
      <c r="C43" t="s">
        <v>807</v>
      </c>
      <c r="D43">
        <v>2</v>
      </c>
      <c r="E43">
        <v>2</v>
      </c>
      <c r="F43">
        <v>2</v>
      </c>
      <c r="G43">
        <v>650</v>
      </c>
      <c r="H43" t="s">
        <v>841</v>
      </c>
      <c r="I43" t="s">
        <v>842</v>
      </c>
      <c r="J43">
        <v>2006</v>
      </c>
      <c r="K43" t="s">
        <v>863</v>
      </c>
      <c r="L43" t="s">
        <v>860</v>
      </c>
      <c r="M43" t="s">
        <v>807</v>
      </c>
      <c r="N43" t="s">
        <v>807</v>
      </c>
      <c r="O43">
        <v>418.15359942743203</v>
      </c>
      <c r="P43">
        <v>497.073785640832</v>
      </c>
      <c r="Q43">
        <v>0.25</v>
      </c>
      <c r="R43">
        <v>275</v>
      </c>
      <c r="S43">
        <v>79</v>
      </c>
      <c r="T43">
        <v>0.28727272727272701</v>
      </c>
      <c r="U43" s="7" t="s">
        <v>858</v>
      </c>
      <c r="V43">
        <v>79</v>
      </c>
      <c r="W43" s="7" t="s">
        <v>858</v>
      </c>
      <c r="X43">
        <v>33</v>
      </c>
      <c r="Y43" s="7" t="s">
        <v>862</v>
      </c>
    </row>
    <row r="44" spans="1:25" ht="30" x14ac:dyDescent="0.25">
      <c r="A44" t="s">
        <v>660</v>
      </c>
      <c r="B44">
        <v>2007</v>
      </c>
      <c r="C44" t="s">
        <v>807</v>
      </c>
      <c r="D44">
        <v>3</v>
      </c>
      <c r="E44">
        <v>3</v>
      </c>
      <c r="F44">
        <v>3</v>
      </c>
      <c r="G44">
        <v>785</v>
      </c>
      <c r="H44" t="s">
        <v>841</v>
      </c>
      <c r="I44" t="s">
        <v>842</v>
      </c>
      <c r="J44">
        <v>2005</v>
      </c>
      <c r="K44" t="s">
        <v>843</v>
      </c>
      <c r="L44" t="s">
        <v>860</v>
      </c>
      <c r="M44" t="s">
        <v>807</v>
      </c>
      <c r="N44" t="s">
        <v>807</v>
      </c>
      <c r="O44">
        <v>549.70703779778103</v>
      </c>
      <c r="P44">
        <v>650.50037653478705</v>
      </c>
      <c r="Q44">
        <v>0.25</v>
      </c>
      <c r="R44">
        <v>275</v>
      </c>
      <c r="S44">
        <v>79</v>
      </c>
      <c r="T44">
        <v>0.28727272727272701</v>
      </c>
      <c r="U44" s="7" t="s">
        <v>858</v>
      </c>
      <c r="V44">
        <v>79</v>
      </c>
      <c r="W44" s="7" t="s">
        <v>858</v>
      </c>
      <c r="X44">
        <v>33</v>
      </c>
      <c r="Y44" s="7" t="s">
        <v>862</v>
      </c>
    </row>
    <row r="45" spans="1:25" ht="45" x14ac:dyDescent="0.25">
      <c r="A45" t="s">
        <v>662</v>
      </c>
      <c r="B45">
        <v>2007</v>
      </c>
      <c r="C45" t="s">
        <v>804</v>
      </c>
      <c r="D45">
        <v>4</v>
      </c>
      <c r="E45">
        <v>4</v>
      </c>
      <c r="F45">
        <v>4</v>
      </c>
      <c r="G45">
        <v>690</v>
      </c>
      <c r="H45" t="s">
        <v>841</v>
      </c>
      <c r="I45" t="s">
        <v>842</v>
      </c>
      <c r="J45">
        <v>2004</v>
      </c>
      <c r="K45" t="s">
        <v>855</v>
      </c>
      <c r="L45" t="s">
        <v>844</v>
      </c>
      <c r="M45" t="s">
        <v>848</v>
      </c>
      <c r="N45" t="s">
        <v>849</v>
      </c>
      <c r="O45" t="s">
        <v>844</v>
      </c>
      <c r="P45">
        <v>0</v>
      </c>
      <c r="Q45" t="s">
        <v>844</v>
      </c>
      <c r="R45">
        <v>275</v>
      </c>
      <c r="S45">
        <v>79</v>
      </c>
      <c r="T45">
        <v>0.410909090909091</v>
      </c>
      <c r="U45" s="7" t="s">
        <v>850</v>
      </c>
      <c r="V45">
        <v>113</v>
      </c>
      <c r="W45" s="7" t="s">
        <v>851</v>
      </c>
      <c r="X45">
        <v>33</v>
      </c>
      <c r="Y45" s="7" t="s">
        <v>862</v>
      </c>
    </row>
    <row r="46" spans="1:25" ht="45" x14ac:dyDescent="0.25">
      <c r="A46" t="s">
        <v>664</v>
      </c>
      <c r="B46">
        <v>2007</v>
      </c>
      <c r="C46" t="s">
        <v>811</v>
      </c>
      <c r="D46">
        <v>3</v>
      </c>
      <c r="E46">
        <v>3</v>
      </c>
      <c r="F46">
        <v>3</v>
      </c>
      <c r="G46">
        <v>859</v>
      </c>
      <c r="H46" t="s">
        <v>841</v>
      </c>
      <c r="I46" t="s">
        <v>842</v>
      </c>
      <c r="J46">
        <v>2005</v>
      </c>
      <c r="K46" t="s">
        <v>843</v>
      </c>
      <c r="L46" t="s">
        <v>844</v>
      </c>
      <c r="M46" t="s">
        <v>848</v>
      </c>
      <c r="N46" t="s">
        <v>849</v>
      </c>
      <c r="O46" t="s">
        <v>844</v>
      </c>
      <c r="P46">
        <v>0</v>
      </c>
      <c r="Q46" t="s">
        <v>844</v>
      </c>
      <c r="R46">
        <v>275</v>
      </c>
      <c r="S46">
        <v>79</v>
      </c>
      <c r="T46">
        <v>0.410909090909091</v>
      </c>
      <c r="U46" s="7" t="s">
        <v>850</v>
      </c>
      <c r="V46">
        <v>113</v>
      </c>
      <c r="W46" s="7" t="s">
        <v>851</v>
      </c>
      <c r="X46">
        <v>33</v>
      </c>
      <c r="Y46" s="7" t="s">
        <v>862</v>
      </c>
    </row>
    <row r="47" spans="1:25" ht="30" x14ac:dyDescent="0.25">
      <c r="A47" t="s">
        <v>666</v>
      </c>
      <c r="B47">
        <v>2007</v>
      </c>
      <c r="C47" t="s">
        <v>803</v>
      </c>
      <c r="D47">
        <v>3</v>
      </c>
      <c r="E47">
        <v>3</v>
      </c>
      <c r="F47">
        <v>3</v>
      </c>
      <c r="G47" t="s">
        <v>844</v>
      </c>
      <c r="H47" t="s">
        <v>852</v>
      </c>
      <c r="I47" t="s">
        <v>852</v>
      </c>
      <c r="J47">
        <v>2005</v>
      </c>
      <c r="K47" t="s">
        <v>843</v>
      </c>
      <c r="L47" t="s">
        <v>844</v>
      </c>
      <c r="M47" t="s">
        <v>845</v>
      </c>
      <c r="N47" t="s">
        <v>845</v>
      </c>
      <c r="O47" t="s">
        <v>844</v>
      </c>
      <c r="P47">
        <v>0</v>
      </c>
      <c r="Q47" t="s">
        <v>844</v>
      </c>
      <c r="R47">
        <v>275</v>
      </c>
      <c r="S47">
        <v>67</v>
      </c>
      <c r="T47">
        <v>0.24363636363636401</v>
      </c>
      <c r="U47" s="7" t="s">
        <v>846</v>
      </c>
      <c r="V47">
        <v>67</v>
      </c>
      <c r="W47" s="7" t="s">
        <v>846</v>
      </c>
      <c r="X47">
        <v>33</v>
      </c>
      <c r="Y47" s="7" t="s">
        <v>862</v>
      </c>
    </row>
    <row r="48" spans="1:25" ht="30" x14ac:dyDescent="0.25">
      <c r="A48" t="s">
        <v>668</v>
      </c>
      <c r="B48">
        <v>2007</v>
      </c>
      <c r="C48" t="s">
        <v>803</v>
      </c>
      <c r="D48">
        <v>3</v>
      </c>
      <c r="E48">
        <v>3</v>
      </c>
      <c r="F48">
        <v>3</v>
      </c>
      <c r="G48">
        <v>765</v>
      </c>
      <c r="H48" t="s">
        <v>859</v>
      </c>
      <c r="I48" t="s">
        <v>842</v>
      </c>
      <c r="J48">
        <v>2005</v>
      </c>
      <c r="K48" t="s">
        <v>843</v>
      </c>
      <c r="L48" t="s">
        <v>844</v>
      </c>
      <c r="M48" t="s">
        <v>845</v>
      </c>
      <c r="N48" t="s">
        <v>845</v>
      </c>
      <c r="O48" t="s">
        <v>844</v>
      </c>
      <c r="P48">
        <v>0</v>
      </c>
      <c r="Q48" t="s">
        <v>844</v>
      </c>
      <c r="R48">
        <v>275</v>
      </c>
      <c r="S48">
        <v>67</v>
      </c>
      <c r="T48">
        <v>0.24363636363636401</v>
      </c>
      <c r="U48" s="7" t="s">
        <v>846</v>
      </c>
      <c r="V48">
        <v>67</v>
      </c>
      <c r="W48" s="7" t="s">
        <v>846</v>
      </c>
      <c r="X48">
        <v>33</v>
      </c>
      <c r="Y48" s="7" t="s">
        <v>862</v>
      </c>
    </row>
    <row r="49" spans="1:25" ht="30" x14ac:dyDescent="0.25">
      <c r="A49" t="s">
        <v>670</v>
      </c>
      <c r="B49">
        <v>2007</v>
      </c>
      <c r="C49" t="s">
        <v>807</v>
      </c>
      <c r="D49">
        <v>3</v>
      </c>
      <c r="E49">
        <v>3</v>
      </c>
      <c r="F49">
        <v>3</v>
      </c>
      <c r="G49">
        <v>700</v>
      </c>
      <c r="H49" t="s">
        <v>841</v>
      </c>
      <c r="I49" t="s">
        <v>842</v>
      </c>
      <c r="J49">
        <v>2005</v>
      </c>
      <c r="K49" t="s">
        <v>843</v>
      </c>
      <c r="L49" t="s">
        <v>860</v>
      </c>
      <c r="M49" t="s">
        <v>807</v>
      </c>
      <c r="N49" t="s">
        <v>807</v>
      </c>
      <c r="O49">
        <v>555.04562166810194</v>
      </c>
      <c r="P49">
        <v>648.22717222560004</v>
      </c>
      <c r="Q49">
        <v>0.27</v>
      </c>
      <c r="R49">
        <v>275</v>
      </c>
      <c r="S49">
        <v>79</v>
      </c>
      <c r="T49">
        <v>0.28727272727272701</v>
      </c>
      <c r="U49" s="7" t="s">
        <v>858</v>
      </c>
      <c r="V49">
        <v>79</v>
      </c>
      <c r="W49" s="7" t="s">
        <v>858</v>
      </c>
      <c r="X49">
        <v>33</v>
      </c>
      <c r="Y49" s="7" t="s">
        <v>862</v>
      </c>
    </row>
    <row r="50" spans="1:25" ht="30" x14ac:dyDescent="0.25">
      <c r="A50" t="s">
        <v>672</v>
      </c>
      <c r="B50">
        <v>2007</v>
      </c>
      <c r="C50" t="s">
        <v>807</v>
      </c>
      <c r="D50">
        <v>3</v>
      </c>
      <c r="E50">
        <v>3</v>
      </c>
      <c r="F50">
        <v>3</v>
      </c>
      <c r="G50">
        <v>840</v>
      </c>
      <c r="H50" t="s">
        <v>852</v>
      </c>
      <c r="I50" t="s">
        <v>852</v>
      </c>
      <c r="J50">
        <v>2005</v>
      </c>
      <c r="K50" t="s">
        <v>843</v>
      </c>
      <c r="L50" t="s">
        <v>860</v>
      </c>
      <c r="M50" t="s">
        <v>807</v>
      </c>
      <c r="N50" t="s">
        <v>807</v>
      </c>
      <c r="O50">
        <v>737.73174759552398</v>
      </c>
      <c r="P50">
        <v>834.45526514972096</v>
      </c>
      <c r="Q50">
        <v>0.16</v>
      </c>
      <c r="R50">
        <v>275</v>
      </c>
      <c r="S50">
        <v>79</v>
      </c>
      <c r="T50">
        <v>0.28727272727272701</v>
      </c>
      <c r="U50" s="7" t="s">
        <v>858</v>
      </c>
      <c r="V50">
        <v>79</v>
      </c>
      <c r="W50" s="7" t="s">
        <v>858</v>
      </c>
      <c r="X50">
        <v>33</v>
      </c>
      <c r="Y50" s="7" t="s">
        <v>862</v>
      </c>
    </row>
    <row r="51" spans="1:25" ht="30" x14ac:dyDescent="0.25">
      <c r="A51" t="s">
        <v>674</v>
      </c>
      <c r="B51">
        <v>2007</v>
      </c>
      <c r="C51" t="s">
        <v>806</v>
      </c>
      <c r="D51">
        <v>3</v>
      </c>
      <c r="E51">
        <v>3</v>
      </c>
      <c r="F51">
        <v>3</v>
      </c>
      <c r="G51">
        <v>750</v>
      </c>
      <c r="H51" t="s">
        <v>859</v>
      </c>
      <c r="I51" t="s">
        <v>842</v>
      </c>
      <c r="J51">
        <v>2005</v>
      </c>
      <c r="K51" t="s">
        <v>843</v>
      </c>
      <c r="L51" t="s">
        <v>844</v>
      </c>
      <c r="M51" t="s">
        <v>845</v>
      </c>
      <c r="N51" t="s">
        <v>845</v>
      </c>
      <c r="O51" t="s">
        <v>844</v>
      </c>
      <c r="P51">
        <v>0</v>
      </c>
      <c r="Q51" t="s">
        <v>844</v>
      </c>
      <c r="R51">
        <v>275</v>
      </c>
      <c r="S51">
        <v>67</v>
      </c>
      <c r="T51">
        <v>0.24363636363636401</v>
      </c>
      <c r="U51" s="7" t="s">
        <v>846</v>
      </c>
      <c r="V51">
        <v>67</v>
      </c>
      <c r="W51" s="7" t="s">
        <v>846</v>
      </c>
      <c r="X51">
        <v>33</v>
      </c>
      <c r="Y51" s="7" t="s">
        <v>862</v>
      </c>
    </row>
    <row r="52" spans="1:25" ht="30" x14ac:dyDescent="0.25">
      <c r="A52" t="s">
        <v>676</v>
      </c>
      <c r="B52">
        <v>2007</v>
      </c>
      <c r="C52" t="s">
        <v>803</v>
      </c>
      <c r="D52">
        <v>2</v>
      </c>
      <c r="E52">
        <v>2</v>
      </c>
      <c r="F52">
        <v>2</v>
      </c>
      <c r="G52" t="s">
        <v>844</v>
      </c>
      <c r="H52" t="s">
        <v>841</v>
      </c>
      <c r="I52" t="s">
        <v>842</v>
      </c>
      <c r="J52">
        <v>2006</v>
      </c>
      <c r="K52" t="s">
        <v>863</v>
      </c>
      <c r="L52" t="s">
        <v>844</v>
      </c>
      <c r="M52" t="s">
        <v>845</v>
      </c>
      <c r="N52" t="s">
        <v>845</v>
      </c>
      <c r="O52" t="s">
        <v>844</v>
      </c>
      <c r="P52">
        <v>0</v>
      </c>
      <c r="Q52" t="s">
        <v>844</v>
      </c>
      <c r="R52">
        <v>275</v>
      </c>
      <c r="S52">
        <v>67</v>
      </c>
      <c r="T52">
        <v>0.24363636363636401</v>
      </c>
      <c r="U52" s="7" t="s">
        <v>846</v>
      </c>
      <c r="V52">
        <v>67</v>
      </c>
      <c r="W52" s="7" t="s">
        <v>846</v>
      </c>
      <c r="X52">
        <v>33</v>
      </c>
      <c r="Y52" s="7" t="s">
        <v>862</v>
      </c>
    </row>
    <row r="53" spans="1:25" ht="30" x14ac:dyDescent="0.25">
      <c r="A53" t="s">
        <v>678</v>
      </c>
      <c r="B53">
        <v>2007</v>
      </c>
      <c r="C53" t="s">
        <v>807</v>
      </c>
      <c r="D53">
        <v>3</v>
      </c>
      <c r="E53">
        <v>3</v>
      </c>
      <c r="F53">
        <v>3</v>
      </c>
      <c r="G53">
        <v>720</v>
      </c>
      <c r="H53" t="s">
        <v>841</v>
      </c>
      <c r="I53" t="s">
        <v>842</v>
      </c>
      <c r="J53">
        <v>2005</v>
      </c>
      <c r="K53" t="s">
        <v>843</v>
      </c>
      <c r="L53" t="s">
        <v>860</v>
      </c>
      <c r="M53" t="s">
        <v>807</v>
      </c>
      <c r="N53" t="s">
        <v>807</v>
      </c>
      <c r="O53">
        <v>473.94441181911498</v>
      </c>
      <c r="P53">
        <v>559.94525503497005</v>
      </c>
      <c r="Q53">
        <v>0.25</v>
      </c>
      <c r="R53">
        <v>275</v>
      </c>
      <c r="S53">
        <v>79</v>
      </c>
      <c r="T53">
        <v>0.28727272727272701</v>
      </c>
      <c r="U53" s="7" t="s">
        <v>858</v>
      </c>
      <c r="V53">
        <v>79</v>
      </c>
      <c r="W53" s="7" t="s">
        <v>858</v>
      </c>
      <c r="X53">
        <v>33</v>
      </c>
      <c r="Y53" s="7" t="s">
        <v>862</v>
      </c>
    </row>
    <row r="54" spans="1:25" ht="30" x14ac:dyDescent="0.25">
      <c r="A54" t="s">
        <v>680</v>
      </c>
      <c r="B54">
        <v>2007</v>
      </c>
      <c r="C54" t="s">
        <v>803</v>
      </c>
      <c r="D54">
        <v>3</v>
      </c>
      <c r="E54">
        <v>3</v>
      </c>
      <c r="F54">
        <v>3</v>
      </c>
      <c r="G54">
        <v>860</v>
      </c>
      <c r="H54" t="s">
        <v>841</v>
      </c>
      <c r="I54" t="s">
        <v>842</v>
      </c>
      <c r="J54">
        <v>2005</v>
      </c>
      <c r="K54" t="s">
        <v>843</v>
      </c>
      <c r="L54" t="s">
        <v>844</v>
      </c>
      <c r="M54" t="s">
        <v>845</v>
      </c>
      <c r="N54" t="s">
        <v>845</v>
      </c>
      <c r="O54" t="s">
        <v>844</v>
      </c>
      <c r="P54">
        <v>0</v>
      </c>
      <c r="Q54" t="s">
        <v>844</v>
      </c>
      <c r="R54">
        <v>275</v>
      </c>
      <c r="S54">
        <v>67</v>
      </c>
      <c r="T54">
        <v>0.24363636363636401</v>
      </c>
      <c r="U54" s="7" t="s">
        <v>846</v>
      </c>
      <c r="V54">
        <v>67</v>
      </c>
      <c r="W54" s="7" t="s">
        <v>846</v>
      </c>
      <c r="X54">
        <v>33</v>
      </c>
      <c r="Y54" s="7" t="s">
        <v>862</v>
      </c>
    </row>
    <row r="55" spans="1:25" ht="30" x14ac:dyDescent="0.25">
      <c r="A55" t="s">
        <v>682</v>
      </c>
      <c r="B55">
        <v>2007</v>
      </c>
      <c r="C55" t="s">
        <v>807</v>
      </c>
      <c r="D55">
        <v>2</v>
      </c>
      <c r="E55">
        <v>2</v>
      </c>
      <c r="F55">
        <v>2</v>
      </c>
      <c r="G55">
        <v>640</v>
      </c>
      <c r="H55" t="s">
        <v>852</v>
      </c>
      <c r="I55" t="s">
        <v>852</v>
      </c>
      <c r="J55">
        <v>2006</v>
      </c>
      <c r="K55" t="s">
        <v>863</v>
      </c>
      <c r="L55" t="s">
        <v>860</v>
      </c>
      <c r="M55" t="s">
        <v>807</v>
      </c>
      <c r="N55" t="s">
        <v>807</v>
      </c>
      <c r="O55">
        <v>517.01493876952395</v>
      </c>
      <c r="P55">
        <v>604.20253356138096</v>
      </c>
      <c r="Q55">
        <v>0.28999999999999998</v>
      </c>
      <c r="R55">
        <v>275</v>
      </c>
      <c r="S55">
        <v>79</v>
      </c>
      <c r="T55">
        <v>0.28727272727272701</v>
      </c>
      <c r="U55" s="7" t="s">
        <v>858</v>
      </c>
      <c r="V55">
        <v>79</v>
      </c>
      <c r="W55" s="7" t="s">
        <v>858</v>
      </c>
      <c r="X55">
        <v>33</v>
      </c>
      <c r="Y55" s="7" t="s">
        <v>862</v>
      </c>
    </row>
    <row r="56" spans="1:25" ht="30" x14ac:dyDescent="0.25">
      <c r="A56" t="s">
        <v>684</v>
      </c>
      <c r="B56">
        <v>2007</v>
      </c>
      <c r="C56" t="s">
        <v>807</v>
      </c>
      <c r="D56">
        <v>4</v>
      </c>
      <c r="E56">
        <v>4</v>
      </c>
      <c r="F56">
        <v>4</v>
      </c>
      <c r="G56">
        <v>865</v>
      </c>
      <c r="H56" t="s">
        <v>841</v>
      </c>
      <c r="I56" t="s">
        <v>842</v>
      </c>
      <c r="J56">
        <v>2004</v>
      </c>
      <c r="K56" t="s">
        <v>855</v>
      </c>
      <c r="L56" t="s">
        <v>857</v>
      </c>
      <c r="M56" t="s">
        <v>807</v>
      </c>
      <c r="N56" t="s">
        <v>807</v>
      </c>
      <c r="O56">
        <v>396.68608619443199</v>
      </c>
      <c r="P56">
        <v>478.800202901896</v>
      </c>
      <c r="Q56">
        <v>0.32</v>
      </c>
      <c r="R56">
        <v>275</v>
      </c>
      <c r="S56">
        <v>79</v>
      </c>
      <c r="T56">
        <v>0.28727272727272701</v>
      </c>
      <c r="U56" s="7" t="s">
        <v>858</v>
      </c>
      <c r="V56">
        <v>79</v>
      </c>
      <c r="W56" s="7" t="s">
        <v>858</v>
      </c>
      <c r="X56">
        <v>33</v>
      </c>
      <c r="Y56" s="7" t="s">
        <v>862</v>
      </c>
    </row>
    <row r="57" spans="1:25" ht="45" x14ac:dyDescent="0.25">
      <c r="A57" t="s">
        <v>686</v>
      </c>
      <c r="B57">
        <v>2007</v>
      </c>
      <c r="C57" t="s">
        <v>810</v>
      </c>
      <c r="D57">
        <v>4</v>
      </c>
      <c r="E57">
        <v>4</v>
      </c>
      <c r="F57">
        <v>4</v>
      </c>
      <c r="G57">
        <v>890</v>
      </c>
      <c r="H57" t="s">
        <v>841</v>
      </c>
      <c r="I57" t="s">
        <v>842</v>
      </c>
      <c r="J57">
        <v>2004</v>
      </c>
      <c r="K57" t="s">
        <v>855</v>
      </c>
      <c r="L57" t="s">
        <v>844</v>
      </c>
      <c r="M57" t="s">
        <v>810</v>
      </c>
      <c r="N57" t="s">
        <v>810</v>
      </c>
      <c r="O57" t="s">
        <v>844</v>
      </c>
      <c r="P57">
        <v>0</v>
      </c>
      <c r="Q57" t="s">
        <v>844</v>
      </c>
      <c r="R57">
        <v>275</v>
      </c>
      <c r="S57">
        <v>16</v>
      </c>
      <c r="T57">
        <v>5.8181818181818203E-2</v>
      </c>
      <c r="U57" s="7" t="s">
        <v>861</v>
      </c>
      <c r="V57">
        <v>16</v>
      </c>
      <c r="W57" s="7" t="s">
        <v>861</v>
      </c>
      <c r="X57">
        <v>33</v>
      </c>
      <c r="Y57" s="7" t="s">
        <v>862</v>
      </c>
    </row>
    <row r="58" spans="1:25" ht="30" x14ac:dyDescent="0.25">
      <c r="A58" t="s">
        <v>688</v>
      </c>
      <c r="B58">
        <v>2007</v>
      </c>
      <c r="C58" t="s">
        <v>803</v>
      </c>
      <c r="D58">
        <v>3</v>
      </c>
      <c r="E58">
        <v>3</v>
      </c>
      <c r="F58">
        <v>3</v>
      </c>
      <c r="G58" t="s">
        <v>844</v>
      </c>
      <c r="H58" t="s">
        <v>852</v>
      </c>
      <c r="I58" t="s">
        <v>842</v>
      </c>
      <c r="J58">
        <v>2005</v>
      </c>
      <c r="K58" t="s">
        <v>843</v>
      </c>
      <c r="L58" t="s">
        <v>844</v>
      </c>
      <c r="M58" t="s">
        <v>845</v>
      </c>
      <c r="N58" t="s">
        <v>845</v>
      </c>
      <c r="O58" t="s">
        <v>844</v>
      </c>
      <c r="P58">
        <v>0</v>
      </c>
      <c r="Q58" t="s">
        <v>844</v>
      </c>
      <c r="R58">
        <v>275</v>
      </c>
      <c r="S58">
        <v>67</v>
      </c>
      <c r="T58">
        <v>0.24363636363636401</v>
      </c>
      <c r="U58" s="7" t="s">
        <v>846</v>
      </c>
      <c r="V58">
        <v>67</v>
      </c>
      <c r="W58" s="7" t="s">
        <v>846</v>
      </c>
      <c r="X58">
        <v>33</v>
      </c>
      <c r="Y58" s="7" t="s">
        <v>862</v>
      </c>
    </row>
    <row r="59" spans="1:25" ht="30" x14ac:dyDescent="0.25">
      <c r="A59" t="s">
        <v>690</v>
      </c>
      <c r="B59">
        <v>2007</v>
      </c>
      <c r="C59" t="s">
        <v>807</v>
      </c>
      <c r="D59">
        <v>3</v>
      </c>
      <c r="E59">
        <v>3</v>
      </c>
      <c r="F59">
        <v>3</v>
      </c>
      <c r="G59">
        <v>742</v>
      </c>
      <c r="H59" t="s">
        <v>841</v>
      </c>
      <c r="I59" t="s">
        <v>842</v>
      </c>
      <c r="J59">
        <v>2005</v>
      </c>
      <c r="K59" t="s">
        <v>843</v>
      </c>
      <c r="L59" t="s">
        <v>860</v>
      </c>
      <c r="M59" t="s">
        <v>807</v>
      </c>
      <c r="N59" t="s">
        <v>807</v>
      </c>
      <c r="O59">
        <v>671.65908372355204</v>
      </c>
      <c r="P59">
        <v>777.92568902767505</v>
      </c>
      <c r="Q59">
        <v>0.19</v>
      </c>
      <c r="R59">
        <v>275</v>
      </c>
      <c r="S59">
        <v>79</v>
      </c>
      <c r="T59">
        <v>0.28727272727272701</v>
      </c>
      <c r="U59" s="7" t="s">
        <v>858</v>
      </c>
      <c r="V59">
        <v>79</v>
      </c>
      <c r="W59" s="7" t="s">
        <v>858</v>
      </c>
      <c r="X59">
        <v>33</v>
      </c>
      <c r="Y59" s="7" t="s">
        <v>862</v>
      </c>
    </row>
    <row r="60" spans="1:25" ht="30" x14ac:dyDescent="0.25">
      <c r="A60" t="s">
        <v>694</v>
      </c>
      <c r="B60">
        <v>2007</v>
      </c>
      <c r="C60" t="s">
        <v>803</v>
      </c>
      <c r="D60">
        <v>2</v>
      </c>
      <c r="E60">
        <v>2</v>
      </c>
      <c r="F60">
        <v>2</v>
      </c>
      <c r="G60" t="s">
        <v>844</v>
      </c>
      <c r="H60" t="s">
        <v>852</v>
      </c>
      <c r="I60" t="s">
        <v>852</v>
      </c>
      <c r="J60">
        <v>2006</v>
      </c>
      <c r="K60" t="s">
        <v>863</v>
      </c>
      <c r="L60" t="s">
        <v>844</v>
      </c>
      <c r="M60" t="s">
        <v>845</v>
      </c>
      <c r="N60" t="s">
        <v>845</v>
      </c>
      <c r="O60" t="s">
        <v>844</v>
      </c>
      <c r="P60">
        <v>0</v>
      </c>
      <c r="Q60" t="s">
        <v>844</v>
      </c>
      <c r="R60">
        <v>275</v>
      </c>
      <c r="S60">
        <v>67</v>
      </c>
      <c r="T60">
        <v>0.24363636363636401</v>
      </c>
      <c r="U60" s="7" t="s">
        <v>846</v>
      </c>
      <c r="V60">
        <v>67</v>
      </c>
      <c r="W60" s="7" t="s">
        <v>846</v>
      </c>
      <c r="X60">
        <v>33</v>
      </c>
      <c r="Y60" s="7" t="s">
        <v>862</v>
      </c>
    </row>
    <row r="61" spans="1:25" ht="30" x14ac:dyDescent="0.25">
      <c r="A61" t="s">
        <v>696</v>
      </c>
      <c r="B61">
        <v>2007</v>
      </c>
      <c r="C61" t="s">
        <v>807</v>
      </c>
      <c r="D61">
        <v>3</v>
      </c>
      <c r="E61">
        <v>3</v>
      </c>
      <c r="F61">
        <v>3</v>
      </c>
      <c r="G61">
        <v>850</v>
      </c>
      <c r="H61" t="s">
        <v>841</v>
      </c>
      <c r="I61" t="s">
        <v>842</v>
      </c>
      <c r="J61">
        <v>2005</v>
      </c>
      <c r="K61" t="s">
        <v>843</v>
      </c>
      <c r="L61" t="s">
        <v>860</v>
      </c>
      <c r="M61" t="s">
        <v>807</v>
      </c>
      <c r="N61" t="s">
        <v>807</v>
      </c>
      <c r="O61">
        <v>472.88925321337399</v>
      </c>
      <c r="P61">
        <v>554.77068074647002</v>
      </c>
      <c r="Q61">
        <v>0.24</v>
      </c>
      <c r="R61">
        <v>275</v>
      </c>
      <c r="S61">
        <v>79</v>
      </c>
      <c r="T61">
        <v>0.28727272727272701</v>
      </c>
      <c r="U61" s="7" t="s">
        <v>858</v>
      </c>
      <c r="V61">
        <v>79</v>
      </c>
      <c r="W61" s="7" t="s">
        <v>858</v>
      </c>
      <c r="X61">
        <v>33</v>
      </c>
      <c r="Y61" s="7" t="s">
        <v>862</v>
      </c>
    </row>
    <row r="62" spans="1:25" ht="30" x14ac:dyDescent="0.25">
      <c r="A62" t="s">
        <v>698</v>
      </c>
      <c r="B62">
        <v>2007</v>
      </c>
      <c r="C62" t="s">
        <v>807</v>
      </c>
      <c r="D62">
        <v>3</v>
      </c>
      <c r="E62">
        <v>3</v>
      </c>
      <c r="F62">
        <v>3</v>
      </c>
      <c r="G62">
        <v>670</v>
      </c>
      <c r="H62" t="s">
        <v>859</v>
      </c>
      <c r="I62" t="s">
        <v>842</v>
      </c>
      <c r="J62">
        <v>2005</v>
      </c>
      <c r="K62" t="s">
        <v>843</v>
      </c>
      <c r="L62" t="s">
        <v>860</v>
      </c>
      <c r="M62" t="s">
        <v>807</v>
      </c>
      <c r="N62" t="s">
        <v>807</v>
      </c>
      <c r="O62">
        <v>503.81173607941599</v>
      </c>
      <c r="P62">
        <v>598.31697974040003</v>
      </c>
      <c r="Q62">
        <v>0.25</v>
      </c>
      <c r="R62">
        <v>275</v>
      </c>
      <c r="S62">
        <v>79</v>
      </c>
      <c r="T62">
        <v>0.28727272727272701</v>
      </c>
      <c r="U62" s="7" t="s">
        <v>858</v>
      </c>
      <c r="V62">
        <v>79</v>
      </c>
      <c r="W62" s="7" t="s">
        <v>858</v>
      </c>
      <c r="X62">
        <v>33</v>
      </c>
      <c r="Y62" s="7" t="s">
        <v>862</v>
      </c>
    </row>
    <row r="63" spans="1:25" ht="30" x14ac:dyDescent="0.25">
      <c r="A63" t="s">
        <v>700</v>
      </c>
      <c r="B63">
        <v>2007</v>
      </c>
      <c r="C63" t="s">
        <v>807</v>
      </c>
      <c r="D63">
        <v>3</v>
      </c>
      <c r="E63">
        <v>3</v>
      </c>
      <c r="F63">
        <v>3</v>
      </c>
      <c r="G63">
        <v>715</v>
      </c>
      <c r="H63" t="s">
        <v>841</v>
      </c>
      <c r="I63" t="s">
        <v>842</v>
      </c>
      <c r="J63">
        <v>2005</v>
      </c>
      <c r="K63" t="s">
        <v>843</v>
      </c>
      <c r="L63" t="s">
        <v>860</v>
      </c>
      <c r="M63" t="s">
        <v>807</v>
      </c>
      <c r="N63" t="s">
        <v>807</v>
      </c>
      <c r="O63">
        <v>491.01970914902699</v>
      </c>
      <c r="P63">
        <v>598.11716727353803</v>
      </c>
      <c r="Q63">
        <v>0.36</v>
      </c>
      <c r="R63">
        <v>275</v>
      </c>
      <c r="S63">
        <v>79</v>
      </c>
      <c r="T63">
        <v>0.28727272727272701</v>
      </c>
      <c r="U63" s="7" t="s">
        <v>858</v>
      </c>
      <c r="V63">
        <v>79</v>
      </c>
      <c r="W63" s="7" t="s">
        <v>858</v>
      </c>
      <c r="X63">
        <v>33</v>
      </c>
      <c r="Y63" s="7" t="s">
        <v>862</v>
      </c>
    </row>
    <row r="64" spans="1:25" ht="30" x14ac:dyDescent="0.25">
      <c r="A64" t="s">
        <v>702</v>
      </c>
      <c r="B64">
        <v>2007</v>
      </c>
      <c r="C64" t="s">
        <v>807</v>
      </c>
      <c r="D64">
        <v>2</v>
      </c>
      <c r="E64">
        <v>2</v>
      </c>
      <c r="F64">
        <v>2</v>
      </c>
      <c r="G64">
        <v>780</v>
      </c>
      <c r="H64" t="s">
        <v>841</v>
      </c>
      <c r="I64" t="s">
        <v>842</v>
      </c>
      <c r="J64">
        <v>2006</v>
      </c>
      <c r="K64" t="s">
        <v>863</v>
      </c>
      <c r="L64" t="s">
        <v>860</v>
      </c>
      <c r="M64" t="s">
        <v>807</v>
      </c>
      <c r="N64" t="s">
        <v>807</v>
      </c>
      <c r="O64">
        <v>716.29810586145095</v>
      </c>
      <c r="P64">
        <v>836.20028898704004</v>
      </c>
      <c r="Q64">
        <v>0.21</v>
      </c>
      <c r="R64">
        <v>275</v>
      </c>
      <c r="S64">
        <v>79</v>
      </c>
      <c r="T64">
        <v>0.28727272727272701</v>
      </c>
      <c r="U64" s="7" t="s">
        <v>858</v>
      </c>
      <c r="V64">
        <v>79</v>
      </c>
      <c r="W64" s="7" t="s">
        <v>858</v>
      </c>
      <c r="X64">
        <v>33</v>
      </c>
      <c r="Y64" s="7" t="s">
        <v>862</v>
      </c>
    </row>
    <row r="65" spans="1:25" ht="30" x14ac:dyDescent="0.25">
      <c r="A65" t="s">
        <v>704</v>
      </c>
      <c r="B65">
        <v>2007</v>
      </c>
      <c r="C65" t="s">
        <v>803</v>
      </c>
      <c r="D65">
        <v>2</v>
      </c>
      <c r="E65">
        <v>2</v>
      </c>
      <c r="F65">
        <v>2</v>
      </c>
      <c r="G65">
        <v>745</v>
      </c>
      <c r="H65" t="s">
        <v>841</v>
      </c>
      <c r="I65" t="s">
        <v>842</v>
      </c>
      <c r="J65">
        <v>2006</v>
      </c>
      <c r="K65" t="s">
        <v>863</v>
      </c>
      <c r="L65" t="s">
        <v>844</v>
      </c>
      <c r="M65" t="s">
        <v>845</v>
      </c>
      <c r="N65" t="s">
        <v>845</v>
      </c>
      <c r="O65" t="s">
        <v>844</v>
      </c>
      <c r="P65">
        <v>0</v>
      </c>
      <c r="Q65" t="s">
        <v>844</v>
      </c>
      <c r="R65">
        <v>275</v>
      </c>
      <c r="S65">
        <v>67</v>
      </c>
      <c r="T65">
        <v>0.24363636363636401</v>
      </c>
      <c r="U65" s="7" t="s">
        <v>846</v>
      </c>
      <c r="V65">
        <v>67</v>
      </c>
      <c r="W65" s="7" t="s">
        <v>846</v>
      </c>
      <c r="X65">
        <v>33</v>
      </c>
      <c r="Y65" s="7" t="s">
        <v>862</v>
      </c>
    </row>
    <row r="66" spans="1:25" ht="45" x14ac:dyDescent="0.25">
      <c r="A66" t="s">
        <v>706</v>
      </c>
      <c r="B66">
        <v>2007</v>
      </c>
      <c r="C66" t="s">
        <v>804</v>
      </c>
      <c r="D66">
        <v>3</v>
      </c>
      <c r="E66">
        <v>3</v>
      </c>
      <c r="F66">
        <v>3</v>
      </c>
      <c r="G66" t="s">
        <v>844</v>
      </c>
      <c r="H66" t="s">
        <v>859</v>
      </c>
      <c r="I66" t="s">
        <v>852</v>
      </c>
      <c r="J66">
        <v>2005</v>
      </c>
      <c r="K66" t="s">
        <v>843</v>
      </c>
      <c r="L66" t="s">
        <v>844</v>
      </c>
      <c r="M66" t="s">
        <v>848</v>
      </c>
      <c r="N66" t="s">
        <v>849</v>
      </c>
      <c r="O66" t="s">
        <v>844</v>
      </c>
      <c r="P66">
        <v>0</v>
      </c>
      <c r="Q66" t="s">
        <v>844</v>
      </c>
      <c r="R66">
        <v>275</v>
      </c>
      <c r="S66">
        <v>79</v>
      </c>
      <c r="T66">
        <v>0.410909090909091</v>
      </c>
      <c r="U66" s="7" t="s">
        <v>850</v>
      </c>
      <c r="V66">
        <v>113</v>
      </c>
      <c r="W66" s="7" t="s">
        <v>851</v>
      </c>
      <c r="X66">
        <v>33</v>
      </c>
      <c r="Y66" s="7" t="s">
        <v>862</v>
      </c>
    </row>
    <row r="67" spans="1:25" ht="30" x14ac:dyDescent="0.25">
      <c r="A67" t="s">
        <v>708</v>
      </c>
      <c r="B67">
        <v>2007</v>
      </c>
      <c r="C67" t="s">
        <v>806</v>
      </c>
      <c r="D67">
        <v>3</v>
      </c>
      <c r="E67">
        <v>3</v>
      </c>
      <c r="F67">
        <v>3</v>
      </c>
      <c r="G67">
        <v>700</v>
      </c>
      <c r="H67" t="s">
        <v>841</v>
      </c>
      <c r="I67" t="s">
        <v>842</v>
      </c>
      <c r="J67">
        <v>2005</v>
      </c>
      <c r="K67" t="s">
        <v>843</v>
      </c>
      <c r="L67" t="s">
        <v>844</v>
      </c>
      <c r="M67" t="s">
        <v>845</v>
      </c>
      <c r="N67" t="s">
        <v>845</v>
      </c>
      <c r="O67" t="s">
        <v>844</v>
      </c>
      <c r="P67">
        <v>0</v>
      </c>
      <c r="Q67" t="s">
        <v>844</v>
      </c>
      <c r="R67">
        <v>275</v>
      </c>
      <c r="S67">
        <v>67</v>
      </c>
      <c r="T67">
        <v>0.24363636363636401</v>
      </c>
      <c r="U67" s="7" t="s">
        <v>846</v>
      </c>
      <c r="V67">
        <v>67</v>
      </c>
      <c r="W67" s="7" t="s">
        <v>846</v>
      </c>
      <c r="X67">
        <v>33</v>
      </c>
      <c r="Y67" s="7" t="s">
        <v>862</v>
      </c>
    </row>
    <row r="68" spans="1:25" ht="30" x14ac:dyDescent="0.25">
      <c r="A68" t="s">
        <v>712</v>
      </c>
      <c r="B68">
        <v>2007</v>
      </c>
      <c r="C68" t="s">
        <v>807</v>
      </c>
      <c r="D68">
        <v>3</v>
      </c>
      <c r="E68">
        <v>3</v>
      </c>
      <c r="F68">
        <v>3</v>
      </c>
      <c r="G68">
        <v>800</v>
      </c>
      <c r="H68" t="s">
        <v>859</v>
      </c>
      <c r="I68" t="s">
        <v>842</v>
      </c>
      <c r="J68">
        <v>2005</v>
      </c>
      <c r="K68" t="s">
        <v>843</v>
      </c>
      <c r="L68" t="s">
        <v>860</v>
      </c>
      <c r="M68" t="s">
        <v>807</v>
      </c>
      <c r="N68" t="s">
        <v>807</v>
      </c>
      <c r="O68">
        <v>612.20637667776998</v>
      </c>
      <c r="P68">
        <v>706.69469290741699</v>
      </c>
      <c r="Q68">
        <v>0.23</v>
      </c>
      <c r="R68">
        <v>275</v>
      </c>
      <c r="S68">
        <v>79</v>
      </c>
      <c r="T68">
        <v>0.28727272727272701</v>
      </c>
      <c r="U68" s="7" t="s">
        <v>858</v>
      </c>
      <c r="V68">
        <v>79</v>
      </c>
      <c r="W68" s="7" t="s">
        <v>858</v>
      </c>
      <c r="X68">
        <v>33</v>
      </c>
      <c r="Y68" s="7" t="s">
        <v>862</v>
      </c>
    </row>
    <row r="69" spans="1:25" ht="30" x14ac:dyDescent="0.25">
      <c r="A69" t="s">
        <v>714</v>
      </c>
      <c r="B69">
        <v>2007</v>
      </c>
      <c r="C69" t="s">
        <v>806</v>
      </c>
      <c r="D69">
        <v>3</v>
      </c>
      <c r="E69">
        <v>3</v>
      </c>
      <c r="F69">
        <v>3</v>
      </c>
      <c r="G69">
        <v>780</v>
      </c>
      <c r="H69" t="s">
        <v>841</v>
      </c>
      <c r="I69" t="s">
        <v>842</v>
      </c>
      <c r="J69">
        <v>2005</v>
      </c>
      <c r="K69" t="s">
        <v>843</v>
      </c>
      <c r="L69" t="s">
        <v>844</v>
      </c>
      <c r="M69" t="s">
        <v>845</v>
      </c>
      <c r="N69" t="s">
        <v>845</v>
      </c>
      <c r="O69" t="s">
        <v>844</v>
      </c>
      <c r="P69">
        <v>0</v>
      </c>
      <c r="Q69" t="s">
        <v>844</v>
      </c>
      <c r="R69">
        <v>275</v>
      </c>
      <c r="S69">
        <v>67</v>
      </c>
      <c r="T69">
        <v>0.24363636363636401</v>
      </c>
      <c r="U69" s="7" t="s">
        <v>846</v>
      </c>
      <c r="V69">
        <v>67</v>
      </c>
      <c r="W69" s="7" t="s">
        <v>846</v>
      </c>
      <c r="X69">
        <v>33</v>
      </c>
      <c r="Y69" s="7" t="s">
        <v>862</v>
      </c>
    </row>
    <row r="70" spans="1:25" ht="45" x14ac:dyDescent="0.25">
      <c r="A70" t="s">
        <v>716</v>
      </c>
      <c r="B70">
        <v>2007</v>
      </c>
      <c r="C70" t="s">
        <v>810</v>
      </c>
      <c r="D70">
        <v>4</v>
      </c>
      <c r="E70">
        <v>4</v>
      </c>
      <c r="F70">
        <v>4</v>
      </c>
      <c r="G70">
        <v>825</v>
      </c>
      <c r="H70" t="s">
        <v>841</v>
      </c>
      <c r="I70" t="s">
        <v>842</v>
      </c>
      <c r="J70">
        <v>2004</v>
      </c>
      <c r="K70" t="s">
        <v>855</v>
      </c>
      <c r="L70" t="s">
        <v>844</v>
      </c>
      <c r="M70" t="s">
        <v>810</v>
      </c>
      <c r="N70" t="s">
        <v>810</v>
      </c>
      <c r="O70" t="s">
        <v>844</v>
      </c>
      <c r="P70">
        <v>0</v>
      </c>
      <c r="Q70" t="s">
        <v>844</v>
      </c>
      <c r="R70">
        <v>275</v>
      </c>
      <c r="S70">
        <v>16</v>
      </c>
      <c r="T70">
        <v>5.8181818181818203E-2</v>
      </c>
      <c r="U70" s="7" t="s">
        <v>861</v>
      </c>
      <c r="V70">
        <v>16</v>
      </c>
      <c r="W70" s="7" t="s">
        <v>861</v>
      </c>
      <c r="X70">
        <v>33</v>
      </c>
      <c r="Y70" s="7" t="s">
        <v>862</v>
      </c>
    </row>
    <row r="71" spans="1:25" ht="30" x14ac:dyDescent="0.25">
      <c r="A71" t="s">
        <v>752</v>
      </c>
      <c r="B71">
        <v>2007</v>
      </c>
      <c r="C71" t="s">
        <v>807</v>
      </c>
      <c r="D71">
        <v>3</v>
      </c>
      <c r="E71">
        <v>3</v>
      </c>
      <c r="F71">
        <v>3</v>
      </c>
      <c r="G71">
        <v>750</v>
      </c>
      <c r="H71" t="s">
        <v>841</v>
      </c>
      <c r="I71" t="s">
        <v>842</v>
      </c>
      <c r="J71">
        <v>2005</v>
      </c>
      <c r="K71" t="s">
        <v>843</v>
      </c>
      <c r="L71" t="s">
        <v>860</v>
      </c>
      <c r="M71" t="s">
        <v>807</v>
      </c>
      <c r="N71" t="s">
        <v>807</v>
      </c>
      <c r="O71">
        <v>570.62312984885102</v>
      </c>
      <c r="P71">
        <v>664.30745025492604</v>
      </c>
      <c r="Q71">
        <v>0.21</v>
      </c>
      <c r="R71">
        <v>275</v>
      </c>
      <c r="S71">
        <v>79</v>
      </c>
      <c r="T71">
        <v>0.28727272727272701</v>
      </c>
      <c r="U71" s="7" t="s">
        <v>858</v>
      </c>
      <c r="V71">
        <v>79</v>
      </c>
      <c r="W71" s="7" t="s">
        <v>858</v>
      </c>
      <c r="X71">
        <v>33</v>
      </c>
      <c r="Y71" s="7" t="s">
        <v>862</v>
      </c>
    </row>
    <row r="72" spans="1:25" ht="30" x14ac:dyDescent="0.25">
      <c r="A72" t="s">
        <v>734</v>
      </c>
      <c r="B72">
        <v>2007</v>
      </c>
      <c r="C72" t="s">
        <v>807</v>
      </c>
      <c r="D72">
        <v>3</v>
      </c>
      <c r="E72">
        <v>3</v>
      </c>
      <c r="F72">
        <v>3</v>
      </c>
      <c r="G72">
        <v>655</v>
      </c>
      <c r="H72" t="s">
        <v>841</v>
      </c>
      <c r="I72" t="s">
        <v>842</v>
      </c>
      <c r="J72">
        <v>2005</v>
      </c>
      <c r="K72" t="s">
        <v>843</v>
      </c>
      <c r="L72" t="s">
        <v>860</v>
      </c>
      <c r="M72" t="s">
        <v>807</v>
      </c>
      <c r="N72" t="s">
        <v>807</v>
      </c>
      <c r="O72">
        <v>487.58637895847602</v>
      </c>
      <c r="P72">
        <v>587.093803235716</v>
      </c>
      <c r="Q72">
        <v>0.35</v>
      </c>
      <c r="R72">
        <v>275</v>
      </c>
      <c r="S72">
        <v>79</v>
      </c>
      <c r="T72">
        <v>0.28727272727272701</v>
      </c>
      <c r="U72" s="7" t="s">
        <v>858</v>
      </c>
      <c r="V72">
        <v>79</v>
      </c>
      <c r="W72" s="7" t="s">
        <v>858</v>
      </c>
      <c r="X72">
        <v>33</v>
      </c>
      <c r="Y72" s="7" t="s">
        <v>862</v>
      </c>
    </row>
    <row r="73" spans="1:25" ht="30" x14ac:dyDescent="0.25">
      <c r="A73" t="s">
        <v>720</v>
      </c>
      <c r="B73">
        <v>2007</v>
      </c>
      <c r="C73" t="s">
        <v>807</v>
      </c>
      <c r="D73">
        <v>3</v>
      </c>
      <c r="E73">
        <v>3</v>
      </c>
      <c r="F73">
        <v>3</v>
      </c>
      <c r="G73">
        <v>775</v>
      </c>
      <c r="H73" t="s">
        <v>841</v>
      </c>
      <c r="I73" t="s">
        <v>842</v>
      </c>
      <c r="J73">
        <v>2005</v>
      </c>
      <c r="K73" t="s">
        <v>843</v>
      </c>
      <c r="L73" t="s">
        <v>860</v>
      </c>
      <c r="M73" t="s">
        <v>807</v>
      </c>
      <c r="N73" t="s">
        <v>807</v>
      </c>
      <c r="O73">
        <v>653.38165356025695</v>
      </c>
      <c r="P73">
        <v>786.27283733522404</v>
      </c>
      <c r="Q73">
        <v>0.27</v>
      </c>
      <c r="R73">
        <v>275</v>
      </c>
      <c r="S73">
        <v>79</v>
      </c>
      <c r="T73">
        <v>0.28727272727272701</v>
      </c>
      <c r="U73" s="7" t="s">
        <v>858</v>
      </c>
      <c r="V73">
        <v>79</v>
      </c>
      <c r="W73" s="7" t="s">
        <v>858</v>
      </c>
      <c r="X73">
        <v>33</v>
      </c>
      <c r="Y73" s="7" t="s">
        <v>862</v>
      </c>
    </row>
    <row r="74" spans="1:25" ht="45" x14ac:dyDescent="0.25">
      <c r="A74" t="s">
        <v>518</v>
      </c>
      <c r="B74">
        <v>2007</v>
      </c>
      <c r="C74" t="s">
        <v>810</v>
      </c>
      <c r="D74">
        <v>3</v>
      </c>
      <c r="E74">
        <v>3</v>
      </c>
      <c r="F74">
        <v>3</v>
      </c>
      <c r="G74">
        <v>720</v>
      </c>
      <c r="H74" t="s">
        <v>859</v>
      </c>
      <c r="I74" t="s">
        <v>842</v>
      </c>
      <c r="J74">
        <v>2005</v>
      </c>
      <c r="K74" t="s">
        <v>843</v>
      </c>
      <c r="L74" t="s">
        <v>844</v>
      </c>
      <c r="M74" t="s">
        <v>810</v>
      </c>
      <c r="N74" t="s">
        <v>810</v>
      </c>
      <c r="O74" t="s">
        <v>844</v>
      </c>
      <c r="P74">
        <v>0</v>
      </c>
      <c r="Q74" t="s">
        <v>844</v>
      </c>
      <c r="R74">
        <v>275</v>
      </c>
      <c r="S74">
        <v>16</v>
      </c>
      <c r="T74">
        <v>5.8181818181818203E-2</v>
      </c>
      <c r="U74" s="7" t="s">
        <v>861</v>
      </c>
      <c r="V74">
        <v>16</v>
      </c>
      <c r="W74" s="7" t="s">
        <v>861</v>
      </c>
      <c r="X74">
        <v>33</v>
      </c>
      <c r="Y74" s="7" t="s">
        <v>862</v>
      </c>
    </row>
    <row r="75" spans="1:25" ht="45" x14ac:dyDescent="0.25">
      <c r="A75" t="s">
        <v>754</v>
      </c>
      <c r="B75">
        <v>2008</v>
      </c>
      <c r="C75" t="s">
        <v>804</v>
      </c>
      <c r="D75">
        <v>2</v>
      </c>
      <c r="E75">
        <v>2</v>
      </c>
      <c r="F75">
        <v>2</v>
      </c>
      <c r="G75">
        <v>770</v>
      </c>
      <c r="H75" t="s">
        <v>859</v>
      </c>
      <c r="I75" t="s">
        <v>842</v>
      </c>
      <c r="J75">
        <v>2007</v>
      </c>
      <c r="K75" t="s">
        <v>864</v>
      </c>
      <c r="L75" t="s">
        <v>844</v>
      </c>
      <c r="M75" t="s">
        <v>848</v>
      </c>
      <c r="N75" t="s">
        <v>849</v>
      </c>
      <c r="O75" t="s">
        <v>844</v>
      </c>
      <c r="P75">
        <v>0</v>
      </c>
      <c r="Q75" t="s">
        <v>844</v>
      </c>
      <c r="R75">
        <v>275</v>
      </c>
      <c r="S75">
        <v>79</v>
      </c>
      <c r="T75">
        <v>0.410909090909091</v>
      </c>
      <c r="U75" s="7" t="s">
        <v>850</v>
      </c>
      <c r="V75">
        <v>113</v>
      </c>
      <c r="W75" s="7" t="s">
        <v>851</v>
      </c>
      <c r="X75">
        <v>6</v>
      </c>
      <c r="Y75" s="7" t="s">
        <v>865</v>
      </c>
    </row>
    <row r="76" spans="1:25" ht="45" x14ac:dyDescent="0.25">
      <c r="A76" t="s">
        <v>736</v>
      </c>
      <c r="B76">
        <v>2008</v>
      </c>
      <c r="C76" t="s">
        <v>812</v>
      </c>
      <c r="D76">
        <v>3</v>
      </c>
      <c r="E76">
        <v>3</v>
      </c>
      <c r="F76">
        <v>3</v>
      </c>
      <c r="G76">
        <v>650</v>
      </c>
      <c r="H76" t="s">
        <v>852</v>
      </c>
      <c r="I76" t="s">
        <v>842</v>
      </c>
      <c r="J76">
        <v>2006</v>
      </c>
      <c r="K76" t="s">
        <v>863</v>
      </c>
      <c r="L76" t="s">
        <v>844</v>
      </c>
      <c r="M76" t="s">
        <v>848</v>
      </c>
      <c r="N76" t="s">
        <v>849</v>
      </c>
      <c r="O76" t="s">
        <v>844</v>
      </c>
      <c r="P76">
        <v>0</v>
      </c>
      <c r="Q76" t="s">
        <v>844</v>
      </c>
      <c r="R76">
        <v>275</v>
      </c>
      <c r="S76">
        <v>79</v>
      </c>
      <c r="T76">
        <v>0.410909090909091</v>
      </c>
      <c r="U76" s="7" t="s">
        <v>850</v>
      </c>
      <c r="V76">
        <v>113</v>
      </c>
      <c r="W76" s="7" t="s">
        <v>851</v>
      </c>
      <c r="X76">
        <v>6</v>
      </c>
      <c r="Y76" s="7" t="s">
        <v>865</v>
      </c>
    </row>
    <row r="77" spans="1:25" ht="30" x14ac:dyDescent="0.25">
      <c r="A77" t="s">
        <v>722</v>
      </c>
      <c r="B77">
        <v>2008</v>
      </c>
      <c r="C77" t="s">
        <v>803</v>
      </c>
      <c r="D77">
        <v>4</v>
      </c>
      <c r="E77">
        <v>4</v>
      </c>
      <c r="F77">
        <v>4</v>
      </c>
      <c r="G77">
        <v>970</v>
      </c>
      <c r="H77" t="s">
        <v>852</v>
      </c>
      <c r="I77" t="s">
        <v>842</v>
      </c>
      <c r="J77">
        <v>2005</v>
      </c>
      <c r="K77" t="s">
        <v>843</v>
      </c>
      <c r="L77" t="s">
        <v>844</v>
      </c>
      <c r="M77" t="s">
        <v>845</v>
      </c>
      <c r="N77" t="s">
        <v>845</v>
      </c>
      <c r="O77" t="s">
        <v>844</v>
      </c>
      <c r="P77">
        <v>0</v>
      </c>
      <c r="Q77" t="s">
        <v>844</v>
      </c>
      <c r="R77">
        <v>275</v>
      </c>
      <c r="S77">
        <v>67</v>
      </c>
      <c r="T77">
        <v>0.24363636363636401</v>
      </c>
      <c r="U77" s="7" t="s">
        <v>846</v>
      </c>
      <c r="V77">
        <v>67</v>
      </c>
      <c r="W77" s="7" t="s">
        <v>846</v>
      </c>
      <c r="X77">
        <v>6</v>
      </c>
      <c r="Y77" s="7" t="s">
        <v>865</v>
      </c>
    </row>
    <row r="78" spans="1:25" ht="45" x14ac:dyDescent="0.25">
      <c r="A78" t="s">
        <v>522</v>
      </c>
      <c r="B78">
        <v>2008</v>
      </c>
      <c r="C78" t="s">
        <v>809</v>
      </c>
      <c r="D78">
        <v>3</v>
      </c>
      <c r="E78">
        <v>3</v>
      </c>
      <c r="F78">
        <v>3</v>
      </c>
      <c r="G78">
        <v>760</v>
      </c>
      <c r="H78" t="s">
        <v>841</v>
      </c>
      <c r="I78" t="s">
        <v>842</v>
      </c>
      <c r="J78">
        <v>2006</v>
      </c>
      <c r="K78" t="s">
        <v>863</v>
      </c>
      <c r="L78" t="s">
        <v>844</v>
      </c>
      <c r="M78" t="s">
        <v>853</v>
      </c>
      <c r="N78" t="s">
        <v>849</v>
      </c>
      <c r="O78" t="s">
        <v>844</v>
      </c>
      <c r="P78">
        <v>0</v>
      </c>
      <c r="Q78" t="s">
        <v>844</v>
      </c>
      <c r="R78">
        <v>275</v>
      </c>
      <c r="S78">
        <v>34</v>
      </c>
      <c r="T78">
        <v>0.410909090909091</v>
      </c>
      <c r="U78" s="7" t="s">
        <v>854</v>
      </c>
      <c r="V78">
        <v>113</v>
      </c>
      <c r="W78" s="7" t="s">
        <v>851</v>
      </c>
      <c r="X78">
        <v>6</v>
      </c>
      <c r="Y78" s="7" t="s">
        <v>865</v>
      </c>
    </row>
    <row r="79" spans="1:25" ht="45" x14ac:dyDescent="0.25">
      <c r="A79" t="s">
        <v>504</v>
      </c>
      <c r="B79">
        <v>2008</v>
      </c>
      <c r="C79" t="s">
        <v>808</v>
      </c>
      <c r="D79">
        <v>3</v>
      </c>
      <c r="E79">
        <v>3</v>
      </c>
      <c r="F79">
        <v>3</v>
      </c>
      <c r="G79">
        <v>840</v>
      </c>
      <c r="H79" t="s">
        <v>859</v>
      </c>
      <c r="I79" t="s">
        <v>842</v>
      </c>
      <c r="J79">
        <v>2006</v>
      </c>
      <c r="K79" t="s">
        <v>863</v>
      </c>
      <c r="L79" t="s">
        <v>844</v>
      </c>
      <c r="M79" t="s">
        <v>853</v>
      </c>
      <c r="N79" t="s">
        <v>849</v>
      </c>
      <c r="O79" t="s">
        <v>844</v>
      </c>
      <c r="P79">
        <v>0</v>
      </c>
      <c r="Q79" t="s">
        <v>844</v>
      </c>
      <c r="R79">
        <v>275</v>
      </c>
      <c r="S79">
        <v>34</v>
      </c>
      <c r="T79">
        <v>0.410909090909091</v>
      </c>
      <c r="U79" s="7" t="s">
        <v>854</v>
      </c>
      <c r="V79">
        <v>113</v>
      </c>
      <c r="W79" s="7" t="s">
        <v>851</v>
      </c>
      <c r="X79">
        <v>6</v>
      </c>
      <c r="Y79" s="7" t="s">
        <v>865</v>
      </c>
    </row>
    <row r="80" spans="1:25" ht="30" x14ac:dyDescent="0.25">
      <c r="A80" t="s">
        <v>756</v>
      </c>
      <c r="B80">
        <v>2009</v>
      </c>
      <c r="C80" t="s">
        <v>803</v>
      </c>
      <c r="D80">
        <v>4</v>
      </c>
      <c r="E80">
        <v>4</v>
      </c>
      <c r="F80">
        <v>4</v>
      </c>
      <c r="G80" t="s">
        <v>844</v>
      </c>
      <c r="H80" t="s">
        <v>852</v>
      </c>
      <c r="I80" t="s">
        <v>852</v>
      </c>
      <c r="J80">
        <v>2006</v>
      </c>
      <c r="K80" t="s">
        <v>863</v>
      </c>
      <c r="L80" t="s">
        <v>844</v>
      </c>
      <c r="M80" t="s">
        <v>845</v>
      </c>
      <c r="N80" t="s">
        <v>845</v>
      </c>
      <c r="O80" t="s">
        <v>844</v>
      </c>
      <c r="P80">
        <v>0</v>
      </c>
      <c r="Q80" t="s">
        <v>844</v>
      </c>
      <c r="R80">
        <v>275</v>
      </c>
      <c r="S80">
        <v>67</v>
      </c>
      <c r="T80">
        <v>0.24363636363636401</v>
      </c>
      <c r="U80" s="7" t="s">
        <v>846</v>
      </c>
      <c r="V80">
        <v>67</v>
      </c>
      <c r="W80" s="7" t="s">
        <v>846</v>
      </c>
      <c r="X80">
        <v>18</v>
      </c>
      <c r="Y80" s="7" t="s">
        <v>866</v>
      </c>
    </row>
    <row r="81" spans="1:25" ht="30" x14ac:dyDescent="0.25">
      <c r="A81" t="s">
        <v>738</v>
      </c>
      <c r="B81">
        <v>2009</v>
      </c>
      <c r="C81" t="s">
        <v>803</v>
      </c>
      <c r="D81">
        <v>4</v>
      </c>
      <c r="E81">
        <v>4</v>
      </c>
      <c r="F81">
        <v>4</v>
      </c>
      <c r="G81">
        <v>810</v>
      </c>
      <c r="H81" t="s">
        <v>859</v>
      </c>
      <c r="I81" t="s">
        <v>842</v>
      </c>
      <c r="J81">
        <v>2006</v>
      </c>
      <c r="K81" t="s">
        <v>863</v>
      </c>
      <c r="L81" t="s">
        <v>844</v>
      </c>
      <c r="M81" t="s">
        <v>845</v>
      </c>
      <c r="N81" t="s">
        <v>845</v>
      </c>
      <c r="O81" t="s">
        <v>844</v>
      </c>
      <c r="P81">
        <v>0</v>
      </c>
      <c r="Q81" t="s">
        <v>844</v>
      </c>
      <c r="R81">
        <v>275</v>
      </c>
      <c r="S81">
        <v>67</v>
      </c>
      <c r="T81">
        <v>0.24363636363636401</v>
      </c>
      <c r="U81" s="7" t="s">
        <v>846</v>
      </c>
      <c r="V81">
        <v>67</v>
      </c>
      <c r="W81" s="7" t="s">
        <v>846</v>
      </c>
      <c r="X81">
        <v>18</v>
      </c>
      <c r="Y81" s="7" t="s">
        <v>866</v>
      </c>
    </row>
    <row r="82" spans="1:25" ht="30" x14ac:dyDescent="0.25">
      <c r="A82" t="s">
        <v>724</v>
      </c>
      <c r="B82">
        <v>2009</v>
      </c>
      <c r="C82" t="s">
        <v>807</v>
      </c>
      <c r="D82" t="s">
        <v>844</v>
      </c>
      <c r="E82" t="s">
        <v>844</v>
      </c>
      <c r="F82" t="s">
        <v>844</v>
      </c>
      <c r="G82">
        <v>855</v>
      </c>
      <c r="H82" t="s">
        <v>859</v>
      </c>
      <c r="I82" t="s">
        <v>842</v>
      </c>
      <c r="J82" t="s">
        <v>844</v>
      </c>
      <c r="K82" t="s">
        <v>844</v>
      </c>
      <c r="L82" t="s">
        <v>860</v>
      </c>
      <c r="M82" t="s">
        <v>807</v>
      </c>
      <c r="N82" t="s">
        <v>807</v>
      </c>
      <c r="O82">
        <v>526.83369956823503</v>
      </c>
      <c r="P82">
        <v>630.13442497377105</v>
      </c>
      <c r="Q82">
        <v>0.31</v>
      </c>
      <c r="R82">
        <v>275</v>
      </c>
      <c r="S82">
        <v>79</v>
      </c>
      <c r="T82">
        <v>0.28727272727272701</v>
      </c>
      <c r="U82" s="7" t="s">
        <v>858</v>
      </c>
      <c r="V82">
        <v>79</v>
      </c>
      <c r="W82" s="7" t="s">
        <v>858</v>
      </c>
      <c r="X82">
        <v>18</v>
      </c>
      <c r="Y82" s="7" t="s">
        <v>866</v>
      </c>
    </row>
    <row r="83" spans="1:25" ht="30" x14ac:dyDescent="0.25">
      <c r="A83" t="s">
        <v>520</v>
      </c>
      <c r="B83">
        <v>2009</v>
      </c>
      <c r="C83" t="s">
        <v>807</v>
      </c>
      <c r="D83">
        <v>3</v>
      </c>
      <c r="E83">
        <v>3</v>
      </c>
      <c r="F83">
        <v>3</v>
      </c>
      <c r="G83">
        <v>720</v>
      </c>
      <c r="H83" t="s">
        <v>852</v>
      </c>
      <c r="I83" t="s">
        <v>842</v>
      </c>
      <c r="J83">
        <v>2007</v>
      </c>
      <c r="K83" t="s">
        <v>864</v>
      </c>
      <c r="L83" t="s">
        <v>857</v>
      </c>
      <c r="M83" t="s">
        <v>807</v>
      </c>
      <c r="N83" t="s">
        <v>807</v>
      </c>
      <c r="O83">
        <v>395.42348262639899</v>
      </c>
      <c r="P83">
        <v>500.27441381831699</v>
      </c>
      <c r="Q83">
        <v>0.37</v>
      </c>
      <c r="R83">
        <v>275</v>
      </c>
      <c r="S83">
        <v>79</v>
      </c>
      <c r="T83">
        <v>0.28727272727272701</v>
      </c>
      <c r="U83" s="7" t="s">
        <v>858</v>
      </c>
      <c r="V83">
        <v>79</v>
      </c>
      <c r="W83" s="7" t="s">
        <v>858</v>
      </c>
      <c r="X83">
        <v>18</v>
      </c>
      <c r="Y83" s="7" t="s">
        <v>866</v>
      </c>
    </row>
    <row r="84" spans="1:25" ht="30" x14ac:dyDescent="0.25">
      <c r="A84" t="s">
        <v>506</v>
      </c>
      <c r="B84">
        <v>2009</v>
      </c>
      <c r="C84" t="s">
        <v>807</v>
      </c>
      <c r="D84" t="s">
        <v>844</v>
      </c>
      <c r="E84" t="s">
        <v>844</v>
      </c>
      <c r="F84" t="s">
        <v>844</v>
      </c>
      <c r="G84">
        <v>765</v>
      </c>
      <c r="H84" t="s">
        <v>859</v>
      </c>
      <c r="I84" t="s">
        <v>842</v>
      </c>
      <c r="J84" t="s">
        <v>844</v>
      </c>
      <c r="K84" t="s">
        <v>844</v>
      </c>
      <c r="L84" t="s">
        <v>857</v>
      </c>
      <c r="M84" t="s">
        <v>807</v>
      </c>
      <c r="N84" t="s">
        <v>807</v>
      </c>
      <c r="O84">
        <v>320.16617570099697</v>
      </c>
      <c r="P84">
        <v>501.03488821774698</v>
      </c>
      <c r="Q84">
        <v>0.6</v>
      </c>
      <c r="R84">
        <v>275</v>
      </c>
      <c r="S84">
        <v>79</v>
      </c>
      <c r="T84">
        <v>0.28727272727272701</v>
      </c>
      <c r="U84" s="7" t="s">
        <v>858</v>
      </c>
      <c r="V84">
        <v>79</v>
      </c>
      <c r="W84" s="7" t="s">
        <v>858</v>
      </c>
      <c r="X84">
        <v>18</v>
      </c>
      <c r="Y84" s="7" t="s">
        <v>866</v>
      </c>
    </row>
    <row r="85" spans="1:25" ht="30" x14ac:dyDescent="0.25">
      <c r="A85" t="s">
        <v>492</v>
      </c>
      <c r="B85">
        <v>2009</v>
      </c>
      <c r="C85" t="s">
        <v>807</v>
      </c>
      <c r="D85">
        <v>3</v>
      </c>
      <c r="E85">
        <v>3</v>
      </c>
      <c r="F85">
        <v>3</v>
      </c>
      <c r="G85">
        <v>820</v>
      </c>
      <c r="H85" t="s">
        <v>841</v>
      </c>
      <c r="I85" t="s">
        <v>842</v>
      </c>
      <c r="J85">
        <v>2007</v>
      </c>
      <c r="K85" t="s">
        <v>864</v>
      </c>
      <c r="L85" t="s">
        <v>860</v>
      </c>
      <c r="M85" t="s">
        <v>807</v>
      </c>
      <c r="N85" t="s">
        <v>807</v>
      </c>
      <c r="O85">
        <v>602.71013978329904</v>
      </c>
      <c r="P85">
        <v>702.97004216115704</v>
      </c>
      <c r="Q85">
        <v>0.25</v>
      </c>
      <c r="R85">
        <v>275</v>
      </c>
      <c r="S85">
        <v>79</v>
      </c>
      <c r="T85">
        <v>0.28727272727272701</v>
      </c>
      <c r="U85" s="7" t="s">
        <v>858</v>
      </c>
      <c r="V85">
        <v>79</v>
      </c>
      <c r="W85" s="7" t="s">
        <v>858</v>
      </c>
      <c r="X85">
        <v>18</v>
      </c>
      <c r="Y85" s="7" t="s">
        <v>866</v>
      </c>
    </row>
    <row r="86" spans="1:25" ht="30" x14ac:dyDescent="0.25">
      <c r="A86" t="s">
        <v>480</v>
      </c>
      <c r="B86">
        <v>2009</v>
      </c>
      <c r="C86" t="s">
        <v>806</v>
      </c>
      <c r="D86">
        <v>3</v>
      </c>
      <c r="E86">
        <v>3</v>
      </c>
      <c r="F86">
        <v>3</v>
      </c>
      <c r="G86">
        <v>710</v>
      </c>
      <c r="H86" t="s">
        <v>859</v>
      </c>
      <c r="I86" t="s">
        <v>842</v>
      </c>
      <c r="J86">
        <v>2007</v>
      </c>
      <c r="K86" t="s">
        <v>864</v>
      </c>
      <c r="L86" t="s">
        <v>844</v>
      </c>
      <c r="M86" t="s">
        <v>845</v>
      </c>
      <c r="N86" t="s">
        <v>845</v>
      </c>
      <c r="O86" t="s">
        <v>844</v>
      </c>
      <c r="P86">
        <v>0</v>
      </c>
      <c r="Q86" t="s">
        <v>844</v>
      </c>
      <c r="R86">
        <v>275</v>
      </c>
      <c r="S86">
        <v>67</v>
      </c>
      <c r="T86">
        <v>0.24363636363636401</v>
      </c>
      <c r="U86" s="7" t="s">
        <v>846</v>
      </c>
      <c r="V86">
        <v>67</v>
      </c>
      <c r="W86" s="7" t="s">
        <v>846</v>
      </c>
      <c r="X86">
        <v>18</v>
      </c>
      <c r="Y86" s="7" t="s">
        <v>866</v>
      </c>
    </row>
    <row r="87" spans="1:25" ht="45" x14ac:dyDescent="0.25">
      <c r="A87" t="s">
        <v>468</v>
      </c>
      <c r="B87">
        <v>2008</v>
      </c>
      <c r="C87" t="s">
        <v>805</v>
      </c>
      <c r="D87">
        <v>3</v>
      </c>
      <c r="E87">
        <v>3</v>
      </c>
      <c r="F87">
        <v>3</v>
      </c>
      <c r="G87">
        <v>840</v>
      </c>
      <c r="H87" t="s">
        <v>859</v>
      </c>
      <c r="I87" t="s">
        <v>842</v>
      </c>
      <c r="J87">
        <v>2006</v>
      </c>
      <c r="K87" t="s">
        <v>863</v>
      </c>
      <c r="L87" t="s">
        <v>844</v>
      </c>
      <c r="M87" t="s">
        <v>853</v>
      </c>
      <c r="N87" t="s">
        <v>849</v>
      </c>
      <c r="O87" t="s">
        <v>844</v>
      </c>
      <c r="P87">
        <v>0</v>
      </c>
      <c r="Q87" t="s">
        <v>844</v>
      </c>
      <c r="R87">
        <v>275</v>
      </c>
      <c r="S87">
        <v>34</v>
      </c>
      <c r="T87">
        <v>0.410909090909091</v>
      </c>
      <c r="U87" s="7" t="s">
        <v>854</v>
      </c>
      <c r="V87">
        <v>113</v>
      </c>
      <c r="W87" s="7" t="s">
        <v>851</v>
      </c>
      <c r="X87">
        <v>6</v>
      </c>
      <c r="Y87" s="7" t="s">
        <v>865</v>
      </c>
    </row>
    <row r="88" spans="1:25" ht="45" x14ac:dyDescent="0.25">
      <c r="A88" t="s">
        <v>456</v>
      </c>
      <c r="B88">
        <v>2009</v>
      </c>
      <c r="C88" t="s">
        <v>804</v>
      </c>
      <c r="D88">
        <v>2</v>
      </c>
      <c r="E88">
        <v>2</v>
      </c>
      <c r="F88">
        <v>2</v>
      </c>
      <c r="G88">
        <v>770</v>
      </c>
      <c r="H88" t="s">
        <v>841</v>
      </c>
      <c r="I88" t="s">
        <v>842</v>
      </c>
      <c r="J88">
        <v>2008</v>
      </c>
      <c r="K88" t="s">
        <v>867</v>
      </c>
      <c r="L88" t="s">
        <v>844</v>
      </c>
      <c r="M88" t="s">
        <v>848</v>
      </c>
      <c r="N88" t="s">
        <v>849</v>
      </c>
      <c r="O88" t="s">
        <v>844</v>
      </c>
      <c r="P88">
        <v>0</v>
      </c>
      <c r="Q88" t="s">
        <v>844</v>
      </c>
      <c r="R88">
        <v>275</v>
      </c>
      <c r="S88">
        <v>79</v>
      </c>
      <c r="T88">
        <v>0.410909090909091</v>
      </c>
      <c r="U88" s="7" t="s">
        <v>850</v>
      </c>
      <c r="V88">
        <v>113</v>
      </c>
      <c r="W88" s="7" t="s">
        <v>851</v>
      </c>
      <c r="X88">
        <v>18</v>
      </c>
      <c r="Y88" s="7" t="s">
        <v>866</v>
      </c>
    </row>
    <row r="89" spans="1:25" ht="30" x14ac:dyDescent="0.25">
      <c r="A89" t="s">
        <v>446</v>
      </c>
      <c r="B89">
        <v>2009</v>
      </c>
      <c r="C89" t="s">
        <v>803</v>
      </c>
      <c r="D89">
        <v>3</v>
      </c>
      <c r="E89">
        <v>3</v>
      </c>
      <c r="F89">
        <v>3</v>
      </c>
      <c r="G89" t="s">
        <v>844</v>
      </c>
      <c r="H89" t="s">
        <v>841</v>
      </c>
      <c r="I89" t="s">
        <v>842</v>
      </c>
      <c r="J89">
        <v>2007</v>
      </c>
      <c r="K89" t="s">
        <v>864</v>
      </c>
      <c r="L89" t="s">
        <v>844</v>
      </c>
      <c r="M89" t="s">
        <v>845</v>
      </c>
      <c r="N89" t="s">
        <v>845</v>
      </c>
      <c r="O89" t="s">
        <v>844</v>
      </c>
      <c r="P89">
        <v>0</v>
      </c>
      <c r="Q89" t="s">
        <v>844</v>
      </c>
      <c r="R89">
        <v>275</v>
      </c>
      <c r="S89">
        <v>67</v>
      </c>
      <c r="T89">
        <v>0.24363636363636401</v>
      </c>
      <c r="U89" s="7" t="s">
        <v>846</v>
      </c>
      <c r="V89">
        <v>67</v>
      </c>
      <c r="W89" s="7" t="s">
        <v>846</v>
      </c>
      <c r="X89">
        <v>18</v>
      </c>
      <c r="Y89" s="7" t="s">
        <v>866</v>
      </c>
    </row>
    <row r="90" spans="1:25" ht="30" x14ac:dyDescent="0.25">
      <c r="A90" t="s">
        <v>758</v>
      </c>
      <c r="B90">
        <v>2009</v>
      </c>
      <c r="C90" t="s">
        <v>807</v>
      </c>
      <c r="D90">
        <v>3</v>
      </c>
      <c r="E90">
        <v>3</v>
      </c>
      <c r="F90">
        <v>3</v>
      </c>
      <c r="G90">
        <v>650</v>
      </c>
      <c r="H90" t="s">
        <v>859</v>
      </c>
      <c r="I90" t="s">
        <v>842</v>
      </c>
      <c r="J90">
        <v>2007</v>
      </c>
      <c r="K90" t="s">
        <v>864</v>
      </c>
      <c r="L90" t="s">
        <v>860</v>
      </c>
      <c r="M90" t="s">
        <v>807</v>
      </c>
      <c r="N90" t="s">
        <v>807</v>
      </c>
      <c r="O90">
        <v>400.41989826119101</v>
      </c>
      <c r="P90">
        <v>505.05588855045897</v>
      </c>
      <c r="Q90">
        <v>0.37</v>
      </c>
      <c r="R90">
        <v>275</v>
      </c>
      <c r="S90">
        <v>79</v>
      </c>
      <c r="T90">
        <v>0.28727272727272701</v>
      </c>
      <c r="U90" s="7" t="s">
        <v>858</v>
      </c>
      <c r="V90">
        <v>79</v>
      </c>
      <c r="W90" s="7" t="s">
        <v>858</v>
      </c>
      <c r="X90">
        <v>18</v>
      </c>
      <c r="Y90" s="7" t="s">
        <v>866</v>
      </c>
    </row>
    <row r="91" spans="1:25" ht="30" x14ac:dyDescent="0.25">
      <c r="A91" t="s">
        <v>740</v>
      </c>
      <c r="B91">
        <v>2009</v>
      </c>
      <c r="C91" t="s">
        <v>803</v>
      </c>
      <c r="D91">
        <v>3</v>
      </c>
      <c r="E91">
        <v>3</v>
      </c>
      <c r="F91">
        <v>3</v>
      </c>
      <c r="G91" t="s">
        <v>844</v>
      </c>
      <c r="H91" t="s">
        <v>859</v>
      </c>
      <c r="I91" t="s">
        <v>852</v>
      </c>
      <c r="J91">
        <v>2007</v>
      </c>
      <c r="K91" t="s">
        <v>864</v>
      </c>
      <c r="L91" t="s">
        <v>844</v>
      </c>
      <c r="M91" t="s">
        <v>845</v>
      </c>
      <c r="N91" t="s">
        <v>845</v>
      </c>
      <c r="O91" t="s">
        <v>844</v>
      </c>
      <c r="P91">
        <v>0</v>
      </c>
      <c r="Q91" t="s">
        <v>844</v>
      </c>
      <c r="R91">
        <v>275</v>
      </c>
      <c r="S91">
        <v>67</v>
      </c>
      <c r="T91">
        <v>0.24363636363636401</v>
      </c>
      <c r="U91" s="7" t="s">
        <v>846</v>
      </c>
      <c r="V91">
        <v>67</v>
      </c>
      <c r="W91" s="7" t="s">
        <v>846</v>
      </c>
      <c r="X91">
        <v>18</v>
      </c>
      <c r="Y91" s="7" t="s">
        <v>866</v>
      </c>
    </row>
    <row r="92" spans="1:25" ht="45" x14ac:dyDescent="0.25">
      <c r="A92" t="s">
        <v>726</v>
      </c>
      <c r="B92">
        <v>2009</v>
      </c>
      <c r="C92" t="s">
        <v>810</v>
      </c>
      <c r="D92">
        <v>3</v>
      </c>
      <c r="E92">
        <v>3</v>
      </c>
      <c r="F92">
        <v>3</v>
      </c>
      <c r="G92">
        <v>840</v>
      </c>
      <c r="H92" t="s">
        <v>859</v>
      </c>
      <c r="I92" t="s">
        <v>842</v>
      </c>
      <c r="J92">
        <v>2007</v>
      </c>
      <c r="K92" t="s">
        <v>864</v>
      </c>
      <c r="L92" t="s">
        <v>844</v>
      </c>
      <c r="M92" t="s">
        <v>810</v>
      </c>
      <c r="N92" t="s">
        <v>810</v>
      </c>
      <c r="O92" t="s">
        <v>844</v>
      </c>
      <c r="P92">
        <v>0</v>
      </c>
      <c r="Q92" t="s">
        <v>844</v>
      </c>
      <c r="R92">
        <v>275</v>
      </c>
      <c r="S92">
        <v>16</v>
      </c>
      <c r="T92">
        <v>5.8181818181818203E-2</v>
      </c>
      <c r="U92" s="7" t="s">
        <v>861</v>
      </c>
      <c r="V92">
        <v>16</v>
      </c>
      <c r="W92" s="7" t="s">
        <v>861</v>
      </c>
      <c r="X92">
        <v>18</v>
      </c>
      <c r="Y92" s="7" t="s">
        <v>866</v>
      </c>
    </row>
    <row r="93" spans="1:25" ht="45" x14ac:dyDescent="0.25">
      <c r="A93" t="s">
        <v>524</v>
      </c>
      <c r="B93">
        <v>2009</v>
      </c>
      <c r="C93" t="s">
        <v>804</v>
      </c>
      <c r="D93">
        <v>2</v>
      </c>
      <c r="E93">
        <v>2</v>
      </c>
      <c r="F93">
        <v>2</v>
      </c>
      <c r="G93">
        <v>800</v>
      </c>
      <c r="H93" t="s">
        <v>859</v>
      </c>
      <c r="I93" t="s">
        <v>852</v>
      </c>
      <c r="J93">
        <v>2008</v>
      </c>
      <c r="K93" t="s">
        <v>867</v>
      </c>
      <c r="L93" t="s">
        <v>844</v>
      </c>
      <c r="M93" t="s">
        <v>848</v>
      </c>
      <c r="N93" t="s">
        <v>849</v>
      </c>
      <c r="O93" t="s">
        <v>844</v>
      </c>
      <c r="P93">
        <v>0</v>
      </c>
      <c r="Q93" t="s">
        <v>844</v>
      </c>
      <c r="R93">
        <v>275</v>
      </c>
      <c r="S93">
        <v>79</v>
      </c>
      <c r="T93">
        <v>0.410909090909091</v>
      </c>
      <c r="U93" s="7" t="s">
        <v>850</v>
      </c>
      <c r="V93">
        <v>113</v>
      </c>
      <c r="W93" s="7" t="s">
        <v>851</v>
      </c>
      <c r="X93">
        <v>18</v>
      </c>
      <c r="Y93" s="7" t="s">
        <v>866</v>
      </c>
    </row>
    <row r="94" spans="1:25" ht="30" x14ac:dyDescent="0.25">
      <c r="A94" t="s">
        <v>508</v>
      </c>
      <c r="B94">
        <v>2009</v>
      </c>
      <c r="C94" t="s">
        <v>807</v>
      </c>
      <c r="D94">
        <v>3</v>
      </c>
      <c r="E94">
        <v>3</v>
      </c>
      <c r="F94">
        <v>3</v>
      </c>
      <c r="G94">
        <v>810</v>
      </c>
      <c r="H94" t="s">
        <v>841</v>
      </c>
      <c r="I94" t="s">
        <v>842</v>
      </c>
      <c r="J94">
        <v>2007</v>
      </c>
      <c r="K94" t="s">
        <v>864</v>
      </c>
      <c r="L94" t="s">
        <v>868</v>
      </c>
      <c r="M94" t="s">
        <v>807</v>
      </c>
      <c r="N94" t="s">
        <v>807</v>
      </c>
      <c r="O94">
        <v>762.17329652562501</v>
      </c>
      <c r="P94">
        <v>891.22031003337895</v>
      </c>
      <c r="Q94">
        <v>0.19</v>
      </c>
      <c r="R94">
        <v>275</v>
      </c>
      <c r="S94">
        <v>79</v>
      </c>
      <c r="T94">
        <v>0.28727272727272701</v>
      </c>
      <c r="U94" s="7" t="s">
        <v>858</v>
      </c>
      <c r="V94">
        <v>79</v>
      </c>
      <c r="W94" s="7" t="s">
        <v>858</v>
      </c>
      <c r="X94">
        <v>18</v>
      </c>
      <c r="Y94" s="7" t="s">
        <v>866</v>
      </c>
    </row>
    <row r="95" spans="1:25" ht="45" x14ac:dyDescent="0.25">
      <c r="A95" t="s">
        <v>494</v>
      </c>
      <c r="B95">
        <v>2009</v>
      </c>
      <c r="C95" t="s">
        <v>804</v>
      </c>
      <c r="D95">
        <v>3</v>
      </c>
      <c r="E95">
        <v>3</v>
      </c>
      <c r="F95">
        <v>3</v>
      </c>
      <c r="G95">
        <v>710</v>
      </c>
      <c r="H95" t="s">
        <v>852</v>
      </c>
      <c r="I95" t="s">
        <v>842</v>
      </c>
      <c r="J95">
        <v>2007</v>
      </c>
      <c r="K95" t="s">
        <v>864</v>
      </c>
      <c r="L95" t="s">
        <v>844</v>
      </c>
      <c r="M95" t="s">
        <v>848</v>
      </c>
      <c r="N95" t="s">
        <v>849</v>
      </c>
      <c r="O95" t="s">
        <v>844</v>
      </c>
      <c r="P95">
        <v>0</v>
      </c>
      <c r="Q95" t="s">
        <v>844</v>
      </c>
      <c r="R95">
        <v>275</v>
      </c>
      <c r="S95">
        <v>79</v>
      </c>
      <c r="T95">
        <v>0.410909090909091</v>
      </c>
      <c r="U95" s="7" t="s">
        <v>850</v>
      </c>
      <c r="V95">
        <v>113</v>
      </c>
      <c r="W95" s="7" t="s">
        <v>851</v>
      </c>
      <c r="X95">
        <v>18</v>
      </c>
      <c r="Y95" s="7" t="s">
        <v>866</v>
      </c>
    </row>
    <row r="96" spans="1:25" ht="30" x14ac:dyDescent="0.25">
      <c r="A96" t="s">
        <v>482</v>
      </c>
      <c r="B96">
        <v>2009</v>
      </c>
      <c r="C96" t="s">
        <v>803</v>
      </c>
      <c r="D96">
        <v>3</v>
      </c>
      <c r="E96">
        <v>3</v>
      </c>
      <c r="F96">
        <v>3</v>
      </c>
      <c r="G96">
        <v>760</v>
      </c>
      <c r="H96" t="s">
        <v>852</v>
      </c>
      <c r="I96" t="s">
        <v>842</v>
      </c>
      <c r="J96">
        <v>2007</v>
      </c>
      <c r="K96" t="s">
        <v>864</v>
      </c>
      <c r="L96" t="s">
        <v>844</v>
      </c>
      <c r="M96" t="s">
        <v>845</v>
      </c>
      <c r="N96" t="s">
        <v>845</v>
      </c>
      <c r="O96" t="s">
        <v>844</v>
      </c>
      <c r="P96">
        <v>0</v>
      </c>
      <c r="Q96" t="s">
        <v>844</v>
      </c>
      <c r="R96">
        <v>275</v>
      </c>
      <c r="S96">
        <v>67</v>
      </c>
      <c r="T96">
        <v>0.24363636363636401</v>
      </c>
      <c r="U96" s="7" t="s">
        <v>846</v>
      </c>
      <c r="V96">
        <v>67</v>
      </c>
      <c r="W96" s="7" t="s">
        <v>846</v>
      </c>
      <c r="X96">
        <v>18</v>
      </c>
      <c r="Y96" s="7" t="s">
        <v>866</v>
      </c>
    </row>
    <row r="97" spans="1:25" ht="30" x14ac:dyDescent="0.25">
      <c r="A97" t="s">
        <v>470</v>
      </c>
      <c r="B97">
        <v>2009</v>
      </c>
      <c r="C97" t="s">
        <v>803</v>
      </c>
      <c r="D97">
        <v>4</v>
      </c>
      <c r="E97">
        <v>4</v>
      </c>
      <c r="F97">
        <v>4</v>
      </c>
      <c r="G97">
        <v>715</v>
      </c>
      <c r="H97" t="s">
        <v>841</v>
      </c>
      <c r="I97" t="s">
        <v>842</v>
      </c>
      <c r="J97">
        <v>2006</v>
      </c>
      <c r="K97" t="s">
        <v>863</v>
      </c>
      <c r="L97" t="s">
        <v>844</v>
      </c>
      <c r="M97" t="s">
        <v>845</v>
      </c>
      <c r="N97" t="s">
        <v>845</v>
      </c>
      <c r="O97" t="s">
        <v>844</v>
      </c>
      <c r="P97">
        <v>0</v>
      </c>
      <c r="Q97" t="s">
        <v>844</v>
      </c>
      <c r="R97">
        <v>275</v>
      </c>
      <c r="S97">
        <v>67</v>
      </c>
      <c r="T97">
        <v>0.24363636363636401</v>
      </c>
      <c r="U97" s="7" t="s">
        <v>846</v>
      </c>
      <c r="V97">
        <v>67</v>
      </c>
      <c r="W97" s="7" t="s">
        <v>846</v>
      </c>
      <c r="X97">
        <v>18</v>
      </c>
      <c r="Y97" s="7" t="s">
        <v>866</v>
      </c>
    </row>
    <row r="98" spans="1:25" ht="45" x14ac:dyDescent="0.25">
      <c r="A98" t="s">
        <v>458</v>
      </c>
      <c r="B98">
        <v>2009</v>
      </c>
      <c r="C98" t="s">
        <v>808</v>
      </c>
      <c r="D98">
        <v>4</v>
      </c>
      <c r="E98">
        <v>4</v>
      </c>
      <c r="F98">
        <v>4</v>
      </c>
      <c r="G98">
        <v>875</v>
      </c>
      <c r="H98" t="s">
        <v>841</v>
      </c>
      <c r="I98" t="s">
        <v>842</v>
      </c>
      <c r="J98">
        <v>2006</v>
      </c>
      <c r="K98" t="s">
        <v>863</v>
      </c>
      <c r="L98" t="s">
        <v>844</v>
      </c>
      <c r="M98" t="s">
        <v>853</v>
      </c>
      <c r="N98" t="s">
        <v>849</v>
      </c>
      <c r="O98" t="s">
        <v>844</v>
      </c>
      <c r="P98">
        <v>0</v>
      </c>
      <c r="Q98" t="s">
        <v>844</v>
      </c>
      <c r="R98">
        <v>275</v>
      </c>
      <c r="S98">
        <v>34</v>
      </c>
      <c r="T98">
        <v>0.410909090909091</v>
      </c>
      <c r="U98" s="7" t="s">
        <v>854</v>
      </c>
      <c r="V98">
        <v>113</v>
      </c>
      <c r="W98" s="7" t="s">
        <v>851</v>
      </c>
      <c r="X98">
        <v>18</v>
      </c>
      <c r="Y98" s="7" t="s">
        <v>866</v>
      </c>
    </row>
    <row r="99" spans="1:25" ht="45" x14ac:dyDescent="0.25">
      <c r="A99" t="s">
        <v>742</v>
      </c>
      <c r="B99">
        <v>2010</v>
      </c>
      <c r="C99" t="s">
        <v>813</v>
      </c>
      <c r="D99">
        <v>3</v>
      </c>
      <c r="E99">
        <v>3</v>
      </c>
      <c r="F99">
        <v>3</v>
      </c>
      <c r="G99">
        <v>800</v>
      </c>
      <c r="H99" t="s">
        <v>841</v>
      </c>
      <c r="I99" t="s">
        <v>869</v>
      </c>
      <c r="J99">
        <v>2008</v>
      </c>
      <c r="K99" t="s">
        <v>867</v>
      </c>
      <c r="L99" t="s">
        <v>844</v>
      </c>
      <c r="M99" t="s">
        <v>848</v>
      </c>
      <c r="N99" t="s">
        <v>849</v>
      </c>
      <c r="O99" t="s">
        <v>844</v>
      </c>
      <c r="P99">
        <v>0</v>
      </c>
      <c r="Q99" t="s">
        <v>844</v>
      </c>
      <c r="R99">
        <v>275</v>
      </c>
      <c r="S99">
        <v>79</v>
      </c>
      <c r="T99">
        <v>0.410909090909091</v>
      </c>
      <c r="U99" s="7" t="s">
        <v>850</v>
      </c>
      <c r="V99">
        <v>113</v>
      </c>
      <c r="W99" s="7" t="s">
        <v>851</v>
      </c>
      <c r="X99">
        <v>28</v>
      </c>
      <c r="Y99" s="7" t="s">
        <v>870</v>
      </c>
    </row>
    <row r="100" spans="1:25" ht="45" x14ac:dyDescent="0.25">
      <c r="A100" t="s">
        <v>728</v>
      </c>
      <c r="B100">
        <v>2010</v>
      </c>
      <c r="C100" t="s">
        <v>813</v>
      </c>
      <c r="D100" t="s">
        <v>844</v>
      </c>
      <c r="E100" t="s">
        <v>844</v>
      </c>
      <c r="F100" t="s">
        <v>844</v>
      </c>
      <c r="G100">
        <v>770</v>
      </c>
      <c r="H100" t="s">
        <v>859</v>
      </c>
      <c r="I100" t="s">
        <v>869</v>
      </c>
      <c r="J100" t="s">
        <v>844</v>
      </c>
      <c r="K100" t="s">
        <v>844</v>
      </c>
      <c r="L100" t="s">
        <v>844</v>
      </c>
      <c r="M100" t="s">
        <v>848</v>
      </c>
      <c r="N100" t="s">
        <v>849</v>
      </c>
      <c r="O100" t="s">
        <v>844</v>
      </c>
      <c r="P100">
        <v>0</v>
      </c>
      <c r="Q100" t="s">
        <v>844</v>
      </c>
      <c r="R100">
        <v>275</v>
      </c>
      <c r="S100">
        <v>79</v>
      </c>
      <c r="T100">
        <v>0.410909090909091</v>
      </c>
      <c r="U100" s="7" t="s">
        <v>850</v>
      </c>
      <c r="V100">
        <v>113</v>
      </c>
      <c r="W100" s="7" t="s">
        <v>851</v>
      </c>
      <c r="X100">
        <v>28</v>
      </c>
      <c r="Y100" s="7" t="s">
        <v>870</v>
      </c>
    </row>
    <row r="101" spans="1:25" ht="45" x14ac:dyDescent="0.25">
      <c r="A101" t="s">
        <v>526</v>
      </c>
      <c r="B101">
        <v>2010</v>
      </c>
      <c r="C101" t="s">
        <v>808</v>
      </c>
      <c r="D101">
        <v>3</v>
      </c>
      <c r="E101">
        <v>3</v>
      </c>
      <c r="F101">
        <v>3</v>
      </c>
      <c r="G101">
        <v>770</v>
      </c>
      <c r="H101" t="s">
        <v>859</v>
      </c>
      <c r="I101" t="s">
        <v>842</v>
      </c>
      <c r="J101">
        <v>2008</v>
      </c>
      <c r="K101" t="s">
        <v>867</v>
      </c>
      <c r="L101" t="s">
        <v>844</v>
      </c>
      <c r="M101" t="s">
        <v>853</v>
      </c>
      <c r="N101" t="s">
        <v>849</v>
      </c>
      <c r="O101" t="s">
        <v>844</v>
      </c>
      <c r="P101">
        <v>0</v>
      </c>
      <c r="Q101" t="s">
        <v>844</v>
      </c>
      <c r="R101">
        <v>275</v>
      </c>
      <c r="S101">
        <v>34</v>
      </c>
      <c r="T101">
        <v>0.410909090909091</v>
      </c>
      <c r="U101" s="7" t="s">
        <v>854</v>
      </c>
      <c r="V101">
        <v>113</v>
      </c>
      <c r="W101" s="7" t="s">
        <v>851</v>
      </c>
      <c r="X101">
        <v>28</v>
      </c>
      <c r="Y101" s="7" t="s">
        <v>870</v>
      </c>
    </row>
    <row r="102" spans="1:25" ht="30" x14ac:dyDescent="0.25">
      <c r="A102" t="s">
        <v>510</v>
      </c>
      <c r="B102">
        <v>2010</v>
      </c>
      <c r="C102" t="s">
        <v>807</v>
      </c>
      <c r="D102">
        <v>3</v>
      </c>
      <c r="E102">
        <v>3</v>
      </c>
      <c r="F102">
        <v>3</v>
      </c>
      <c r="G102">
        <v>760</v>
      </c>
      <c r="H102" t="s">
        <v>859</v>
      </c>
      <c r="I102" t="s">
        <v>852</v>
      </c>
      <c r="J102">
        <v>2008</v>
      </c>
      <c r="K102" t="s">
        <v>867</v>
      </c>
      <c r="L102" t="s">
        <v>860</v>
      </c>
      <c r="M102" t="s">
        <v>807</v>
      </c>
      <c r="N102" t="s">
        <v>807</v>
      </c>
      <c r="O102">
        <v>482.78419699781699</v>
      </c>
      <c r="P102">
        <v>622.15145448708302</v>
      </c>
      <c r="Q102">
        <v>0.35</v>
      </c>
      <c r="R102">
        <v>275</v>
      </c>
      <c r="S102">
        <v>79</v>
      </c>
      <c r="T102">
        <v>0.28727272727272701</v>
      </c>
      <c r="U102" s="7" t="s">
        <v>858</v>
      </c>
      <c r="V102">
        <v>79</v>
      </c>
      <c r="W102" s="7" t="s">
        <v>858</v>
      </c>
      <c r="X102">
        <v>28</v>
      </c>
      <c r="Y102" s="7" t="s">
        <v>870</v>
      </c>
    </row>
    <row r="103" spans="1:25" ht="30" x14ac:dyDescent="0.25">
      <c r="A103" t="s">
        <v>496</v>
      </c>
      <c r="B103">
        <v>2010</v>
      </c>
      <c r="C103" t="s">
        <v>806</v>
      </c>
      <c r="D103">
        <v>3</v>
      </c>
      <c r="E103">
        <v>3</v>
      </c>
      <c r="F103">
        <v>3</v>
      </c>
      <c r="G103">
        <v>860</v>
      </c>
      <c r="H103" t="s">
        <v>859</v>
      </c>
      <c r="I103" t="s">
        <v>842</v>
      </c>
      <c r="J103">
        <v>2008</v>
      </c>
      <c r="K103" t="s">
        <v>867</v>
      </c>
      <c r="L103" t="s">
        <v>844</v>
      </c>
      <c r="M103" t="s">
        <v>845</v>
      </c>
      <c r="N103" t="s">
        <v>845</v>
      </c>
      <c r="O103" t="s">
        <v>844</v>
      </c>
      <c r="P103">
        <v>0</v>
      </c>
      <c r="Q103" t="s">
        <v>844</v>
      </c>
      <c r="R103">
        <v>275</v>
      </c>
      <c r="S103">
        <v>67</v>
      </c>
      <c r="T103">
        <v>0.24363636363636401</v>
      </c>
      <c r="U103" s="7" t="s">
        <v>846</v>
      </c>
      <c r="V103">
        <v>67</v>
      </c>
      <c r="W103" s="7" t="s">
        <v>846</v>
      </c>
      <c r="X103">
        <v>28</v>
      </c>
      <c r="Y103" s="7" t="s">
        <v>870</v>
      </c>
    </row>
    <row r="104" spans="1:25" ht="45" x14ac:dyDescent="0.25">
      <c r="A104" t="s">
        <v>484</v>
      </c>
      <c r="B104">
        <v>2010</v>
      </c>
      <c r="C104" t="s">
        <v>805</v>
      </c>
      <c r="D104">
        <v>3</v>
      </c>
      <c r="E104">
        <v>3</v>
      </c>
      <c r="F104">
        <v>3</v>
      </c>
      <c r="G104">
        <v>660</v>
      </c>
      <c r="H104" t="s">
        <v>841</v>
      </c>
      <c r="I104" t="s">
        <v>842</v>
      </c>
      <c r="J104">
        <v>2008</v>
      </c>
      <c r="K104" t="s">
        <v>867</v>
      </c>
      <c r="L104" t="s">
        <v>844</v>
      </c>
      <c r="M104" t="s">
        <v>853</v>
      </c>
      <c r="N104" t="s">
        <v>849</v>
      </c>
      <c r="O104" t="s">
        <v>844</v>
      </c>
      <c r="P104">
        <v>0</v>
      </c>
      <c r="Q104" t="s">
        <v>844</v>
      </c>
      <c r="R104">
        <v>275</v>
      </c>
      <c r="S104">
        <v>34</v>
      </c>
      <c r="T104">
        <v>0.410909090909091</v>
      </c>
      <c r="U104" s="7" t="s">
        <v>854</v>
      </c>
      <c r="V104">
        <v>113</v>
      </c>
      <c r="W104" s="7" t="s">
        <v>851</v>
      </c>
      <c r="X104">
        <v>28</v>
      </c>
      <c r="Y104" s="7" t="s">
        <v>870</v>
      </c>
    </row>
    <row r="105" spans="1:25" ht="45" x14ac:dyDescent="0.25">
      <c r="A105" t="s">
        <v>472</v>
      </c>
      <c r="B105">
        <v>2010</v>
      </c>
      <c r="C105" t="s">
        <v>808</v>
      </c>
      <c r="D105">
        <v>3</v>
      </c>
      <c r="E105">
        <v>3</v>
      </c>
      <c r="F105">
        <v>3</v>
      </c>
      <c r="G105">
        <v>780</v>
      </c>
      <c r="H105" t="s">
        <v>841</v>
      </c>
      <c r="I105" t="s">
        <v>842</v>
      </c>
      <c r="J105">
        <v>2008</v>
      </c>
      <c r="K105" t="s">
        <v>867</v>
      </c>
      <c r="L105" t="s">
        <v>844</v>
      </c>
      <c r="M105" t="s">
        <v>853</v>
      </c>
      <c r="N105" t="s">
        <v>849</v>
      </c>
      <c r="O105" t="s">
        <v>844</v>
      </c>
      <c r="P105">
        <v>0</v>
      </c>
      <c r="Q105" t="s">
        <v>844</v>
      </c>
      <c r="R105">
        <v>275</v>
      </c>
      <c r="S105">
        <v>34</v>
      </c>
      <c r="T105">
        <v>0.410909090909091</v>
      </c>
      <c r="U105" s="7" t="s">
        <v>854</v>
      </c>
      <c r="V105">
        <v>113</v>
      </c>
      <c r="W105" s="7" t="s">
        <v>851</v>
      </c>
      <c r="X105">
        <v>28</v>
      </c>
      <c r="Y105" s="7" t="s">
        <v>870</v>
      </c>
    </row>
    <row r="106" spans="1:25" ht="45" x14ac:dyDescent="0.25">
      <c r="A106" t="s">
        <v>460</v>
      </c>
      <c r="B106">
        <v>2010</v>
      </c>
      <c r="C106" t="s">
        <v>810</v>
      </c>
      <c r="D106">
        <v>3</v>
      </c>
      <c r="E106">
        <v>3</v>
      </c>
      <c r="F106">
        <v>3</v>
      </c>
      <c r="G106">
        <v>650</v>
      </c>
      <c r="H106" t="s">
        <v>841</v>
      </c>
      <c r="I106" t="s">
        <v>842</v>
      </c>
      <c r="J106">
        <v>2008</v>
      </c>
      <c r="K106" t="s">
        <v>867</v>
      </c>
      <c r="L106" t="s">
        <v>844</v>
      </c>
      <c r="M106" t="s">
        <v>810</v>
      </c>
      <c r="N106" t="s">
        <v>810</v>
      </c>
      <c r="O106" t="s">
        <v>844</v>
      </c>
      <c r="P106">
        <v>0</v>
      </c>
      <c r="Q106" t="s">
        <v>844</v>
      </c>
      <c r="R106">
        <v>275</v>
      </c>
      <c r="S106">
        <v>16</v>
      </c>
      <c r="T106">
        <v>5.8181818181818203E-2</v>
      </c>
      <c r="U106" s="7" t="s">
        <v>861</v>
      </c>
      <c r="V106">
        <v>16</v>
      </c>
      <c r="W106" s="7" t="s">
        <v>861</v>
      </c>
      <c r="X106">
        <v>28</v>
      </c>
      <c r="Y106" s="7" t="s">
        <v>870</v>
      </c>
    </row>
    <row r="107" spans="1:25" ht="45" x14ac:dyDescent="0.25">
      <c r="A107" t="s">
        <v>450</v>
      </c>
      <c r="B107">
        <v>2010</v>
      </c>
      <c r="C107" t="s">
        <v>811</v>
      </c>
      <c r="D107">
        <v>3</v>
      </c>
      <c r="E107">
        <v>3</v>
      </c>
      <c r="F107">
        <v>3</v>
      </c>
      <c r="G107">
        <v>780</v>
      </c>
      <c r="H107" t="s">
        <v>841</v>
      </c>
      <c r="I107" t="s">
        <v>869</v>
      </c>
      <c r="J107">
        <v>2008</v>
      </c>
      <c r="K107" t="s">
        <v>867</v>
      </c>
      <c r="L107" t="s">
        <v>844</v>
      </c>
      <c r="M107" t="s">
        <v>848</v>
      </c>
      <c r="N107" t="s">
        <v>849</v>
      </c>
      <c r="O107" t="s">
        <v>844</v>
      </c>
      <c r="P107">
        <v>0</v>
      </c>
      <c r="Q107" t="s">
        <v>844</v>
      </c>
      <c r="R107">
        <v>275</v>
      </c>
      <c r="S107">
        <v>79</v>
      </c>
      <c r="T107">
        <v>0.410909090909091</v>
      </c>
      <c r="U107" s="7" t="s">
        <v>850</v>
      </c>
      <c r="V107">
        <v>113</v>
      </c>
      <c r="W107" s="7" t="s">
        <v>851</v>
      </c>
      <c r="X107">
        <v>28</v>
      </c>
      <c r="Y107" s="7" t="s">
        <v>870</v>
      </c>
    </row>
    <row r="108" spans="1:25" ht="45" x14ac:dyDescent="0.25">
      <c r="A108" t="s">
        <v>760</v>
      </c>
      <c r="B108">
        <v>2010</v>
      </c>
      <c r="C108" t="s">
        <v>811</v>
      </c>
      <c r="D108">
        <v>3</v>
      </c>
      <c r="E108">
        <v>3</v>
      </c>
      <c r="F108">
        <v>3</v>
      </c>
      <c r="G108">
        <v>830</v>
      </c>
      <c r="H108" t="s">
        <v>859</v>
      </c>
      <c r="I108" t="s">
        <v>869</v>
      </c>
      <c r="J108">
        <v>2008</v>
      </c>
      <c r="K108" t="s">
        <v>867</v>
      </c>
      <c r="L108" t="s">
        <v>844</v>
      </c>
      <c r="M108" t="s">
        <v>848</v>
      </c>
      <c r="N108" t="s">
        <v>849</v>
      </c>
      <c r="O108" t="s">
        <v>844</v>
      </c>
      <c r="P108">
        <v>0</v>
      </c>
      <c r="Q108" t="s">
        <v>844</v>
      </c>
      <c r="R108">
        <v>275</v>
      </c>
      <c r="S108">
        <v>79</v>
      </c>
      <c r="T108">
        <v>0.410909090909091</v>
      </c>
      <c r="U108" s="7" t="s">
        <v>850</v>
      </c>
      <c r="V108">
        <v>113</v>
      </c>
      <c r="W108" s="7" t="s">
        <v>851</v>
      </c>
      <c r="X108">
        <v>28</v>
      </c>
      <c r="Y108" s="7" t="s">
        <v>870</v>
      </c>
    </row>
    <row r="109" spans="1:25" ht="45" x14ac:dyDescent="0.25">
      <c r="A109" t="s">
        <v>768</v>
      </c>
      <c r="B109">
        <v>2010</v>
      </c>
      <c r="C109" t="s">
        <v>812</v>
      </c>
      <c r="D109" t="s">
        <v>844</v>
      </c>
      <c r="E109" t="s">
        <v>844</v>
      </c>
      <c r="F109" t="s">
        <v>844</v>
      </c>
      <c r="G109">
        <v>660</v>
      </c>
      <c r="H109" t="s">
        <v>841</v>
      </c>
      <c r="I109" t="s">
        <v>842</v>
      </c>
      <c r="J109" t="s">
        <v>844</v>
      </c>
      <c r="K109" t="s">
        <v>844</v>
      </c>
      <c r="L109" t="s">
        <v>844</v>
      </c>
      <c r="M109" t="s">
        <v>848</v>
      </c>
      <c r="N109" t="s">
        <v>849</v>
      </c>
      <c r="O109" t="s">
        <v>844</v>
      </c>
      <c r="P109">
        <v>0</v>
      </c>
      <c r="Q109" t="s">
        <v>844</v>
      </c>
      <c r="R109">
        <v>275</v>
      </c>
      <c r="S109">
        <v>79</v>
      </c>
      <c r="T109">
        <v>0.410909090909091</v>
      </c>
      <c r="U109" s="7" t="s">
        <v>850</v>
      </c>
      <c r="V109">
        <v>113</v>
      </c>
      <c r="W109" s="7" t="s">
        <v>851</v>
      </c>
      <c r="X109">
        <v>28</v>
      </c>
      <c r="Y109" s="7" t="s">
        <v>870</v>
      </c>
    </row>
    <row r="110" spans="1:25" ht="30" x14ac:dyDescent="0.25">
      <c r="A110" t="s">
        <v>730</v>
      </c>
      <c r="B110">
        <v>2010</v>
      </c>
      <c r="C110" t="s">
        <v>807</v>
      </c>
      <c r="D110">
        <v>3</v>
      </c>
      <c r="E110">
        <v>3</v>
      </c>
      <c r="F110">
        <v>3</v>
      </c>
      <c r="G110">
        <v>690</v>
      </c>
      <c r="H110" t="s">
        <v>841</v>
      </c>
      <c r="I110" t="s">
        <v>842</v>
      </c>
      <c r="J110">
        <v>2008</v>
      </c>
      <c r="K110" t="s">
        <v>867</v>
      </c>
      <c r="L110" t="s">
        <v>860</v>
      </c>
      <c r="M110" t="s">
        <v>807</v>
      </c>
      <c r="N110" t="s">
        <v>807</v>
      </c>
      <c r="O110">
        <v>511.84670295973598</v>
      </c>
      <c r="P110">
        <v>607.81795976468698</v>
      </c>
      <c r="Q110">
        <v>0.31</v>
      </c>
      <c r="R110">
        <v>275</v>
      </c>
      <c r="S110">
        <v>79</v>
      </c>
      <c r="T110">
        <v>0.28727272727272701</v>
      </c>
      <c r="U110" s="7" t="s">
        <v>858</v>
      </c>
      <c r="V110">
        <v>79</v>
      </c>
      <c r="W110" s="7" t="s">
        <v>858</v>
      </c>
      <c r="X110">
        <v>28</v>
      </c>
      <c r="Y110" s="7" t="s">
        <v>870</v>
      </c>
    </row>
    <row r="111" spans="1:25" ht="30" x14ac:dyDescent="0.25">
      <c r="A111" t="s">
        <v>512</v>
      </c>
      <c r="B111">
        <v>2010</v>
      </c>
      <c r="C111" t="s">
        <v>806</v>
      </c>
      <c r="D111">
        <v>2</v>
      </c>
      <c r="E111">
        <v>2</v>
      </c>
      <c r="F111">
        <v>2</v>
      </c>
      <c r="G111" t="s">
        <v>844</v>
      </c>
      <c r="H111" t="s">
        <v>852</v>
      </c>
      <c r="I111" t="s">
        <v>852</v>
      </c>
      <c r="J111">
        <v>2009</v>
      </c>
      <c r="K111" t="s">
        <v>864</v>
      </c>
      <c r="L111" t="s">
        <v>844</v>
      </c>
      <c r="M111" t="s">
        <v>845</v>
      </c>
      <c r="N111" t="s">
        <v>845</v>
      </c>
      <c r="O111" t="s">
        <v>844</v>
      </c>
      <c r="P111">
        <v>0</v>
      </c>
      <c r="Q111" t="s">
        <v>844</v>
      </c>
      <c r="R111">
        <v>275</v>
      </c>
      <c r="S111">
        <v>67</v>
      </c>
      <c r="T111">
        <v>0.24363636363636401</v>
      </c>
      <c r="U111" s="7" t="s">
        <v>846</v>
      </c>
      <c r="V111">
        <v>67</v>
      </c>
      <c r="W111" s="7" t="s">
        <v>846</v>
      </c>
      <c r="X111">
        <v>28</v>
      </c>
      <c r="Y111" s="7" t="s">
        <v>870</v>
      </c>
    </row>
    <row r="112" spans="1:25" ht="45" x14ac:dyDescent="0.25">
      <c r="A112" t="s">
        <v>498</v>
      </c>
      <c r="B112">
        <v>2010</v>
      </c>
      <c r="C112" t="s">
        <v>813</v>
      </c>
      <c r="D112" t="s">
        <v>844</v>
      </c>
      <c r="E112" t="s">
        <v>844</v>
      </c>
      <c r="F112" t="s">
        <v>844</v>
      </c>
      <c r="G112" t="s">
        <v>844</v>
      </c>
      <c r="H112" t="s">
        <v>852</v>
      </c>
      <c r="I112" t="s">
        <v>852</v>
      </c>
      <c r="J112" t="s">
        <v>844</v>
      </c>
      <c r="K112" t="s">
        <v>844</v>
      </c>
      <c r="L112" t="s">
        <v>844</v>
      </c>
      <c r="M112" t="s">
        <v>848</v>
      </c>
      <c r="N112" t="s">
        <v>849</v>
      </c>
      <c r="O112" t="s">
        <v>844</v>
      </c>
      <c r="P112">
        <v>0</v>
      </c>
      <c r="Q112" t="s">
        <v>844</v>
      </c>
      <c r="R112">
        <v>275</v>
      </c>
      <c r="S112">
        <v>79</v>
      </c>
      <c r="T112">
        <v>0.410909090909091</v>
      </c>
      <c r="U112" s="7" t="s">
        <v>850</v>
      </c>
      <c r="V112">
        <v>113</v>
      </c>
      <c r="W112" s="7" t="s">
        <v>851</v>
      </c>
      <c r="X112">
        <v>28</v>
      </c>
      <c r="Y112" s="7" t="s">
        <v>870</v>
      </c>
    </row>
    <row r="113" spans="1:25" ht="45" x14ac:dyDescent="0.25">
      <c r="A113" t="s">
        <v>486</v>
      </c>
      <c r="B113">
        <v>2010</v>
      </c>
      <c r="C113" t="s">
        <v>804</v>
      </c>
      <c r="D113">
        <v>3</v>
      </c>
      <c r="E113">
        <v>3</v>
      </c>
      <c r="F113">
        <v>3</v>
      </c>
      <c r="G113">
        <v>600</v>
      </c>
      <c r="H113" t="s">
        <v>852</v>
      </c>
      <c r="I113" t="s">
        <v>852</v>
      </c>
      <c r="J113">
        <v>2008</v>
      </c>
      <c r="K113" t="s">
        <v>867</v>
      </c>
      <c r="L113" t="s">
        <v>844</v>
      </c>
      <c r="M113" t="s">
        <v>848</v>
      </c>
      <c r="N113" t="s">
        <v>849</v>
      </c>
      <c r="O113" t="s">
        <v>844</v>
      </c>
      <c r="P113">
        <v>0</v>
      </c>
      <c r="Q113" t="s">
        <v>844</v>
      </c>
      <c r="R113">
        <v>275</v>
      </c>
      <c r="S113">
        <v>79</v>
      </c>
      <c r="T113">
        <v>0.410909090909091</v>
      </c>
      <c r="U113" s="7" t="s">
        <v>850</v>
      </c>
      <c r="V113">
        <v>113</v>
      </c>
      <c r="W113" s="7" t="s">
        <v>851</v>
      </c>
      <c r="X113">
        <v>28</v>
      </c>
      <c r="Y113" s="7" t="s">
        <v>870</v>
      </c>
    </row>
    <row r="114" spans="1:25" ht="45" x14ac:dyDescent="0.25">
      <c r="A114" t="s">
        <v>474</v>
      </c>
      <c r="B114">
        <v>2010</v>
      </c>
      <c r="C114" t="s">
        <v>811</v>
      </c>
      <c r="D114">
        <v>3</v>
      </c>
      <c r="E114">
        <v>3</v>
      </c>
      <c r="F114">
        <v>3</v>
      </c>
      <c r="G114" t="s">
        <v>844</v>
      </c>
      <c r="H114" t="s">
        <v>852</v>
      </c>
      <c r="I114" t="s">
        <v>869</v>
      </c>
      <c r="J114">
        <v>2008</v>
      </c>
      <c r="K114" t="s">
        <v>867</v>
      </c>
      <c r="L114" t="s">
        <v>844</v>
      </c>
      <c r="M114" t="s">
        <v>848</v>
      </c>
      <c r="N114" t="s">
        <v>849</v>
      </c>
      <c r="O114" t="s">
        <v>844</v>
      </c>
      <c r="P114">
        <v>0</v>
      </c>
      <c r="Q114" t="s">
        <v>844</v>
      </c>
      <c r="R114">
        <v>275</v>
      </c>
      <c r="S114">
        <v>79</v>
      </c>
      <c r="T114">
        <v>0.410909090909091</v>
      </c>
      <c r="U114" s="7" t="s">
        <v>850</v>
      </c>
      <c r="V114">
        <v>113</v>
      </c>
      <c r="W114" s="7" t="s">
        <v>851</v>
      </c>
      <c r="X114">
        <v>28</v>
      </c>
      <c r="Y114" s="7" t="s">
        <v>870</v>
      </c>
    </row>
    <row r="115" spans="1:25" ht="45" x14ac:dyDescent="0.25">
      <c r="A115" t="s">
        <v>462</v>
      </c>
      <c r="B115">
        <v>2010</v>
      </c>
      <c r="C115" t="s">
        <v>804</v>
      </c>
      <c r="D115">
        <v>3</v>
      </c>
      <c r="E115">
        <v>3</v>
      </c>
      <c r="F115">
        <v>3</v>
      </c>
      <c r="G115" t="s">
        <v>844</v>
      </c>
      <c r="H115" t="s">
        <v>852</v>
      </c>
      <c r="I115" t="s">
        <v>852</v>
      </c>
      <c r="J115">
        <v>2008</v>
      </c>
      <c r="K115" t="s">
        <v>867</v>
      </c>
      <c r="L115" t="s">
        <v>844</v>
      </c>
      <c r="M115" t="s">
        <v>848</v>
      </c>
      <c r="N115" t="s">
        <v>849</v>
      </c>
      <c r="O115" t="s">
        <v>844</v>
      </c>
      <c r="P115">
        <v>0</v>
      </c>
      <c r="Q115" t="s">
        <v>844</v>
      </c>
      <c r="R115">
        <v>275</v>
      </c>
      <c r="S115">
        <v>79</v>
      </c>
      <c r="T115">
        <v>0.410909090909091</v>
      </c>
      <c r="U115" s="7" t="s">
        <v>850</v>
      </c>
      <c r="V115">
        <v>113</v>
      </c>
      <c r="W115" s="7" t="s">
        <v>851</v>
      </c>
      <c r="X115">
        <v>28</v>
      </c>
      <c r="Y115" s="7" t="s">
        <v>870</v>
      </c>
    </row>
    <row r="116" spans="1:25" ht="45" x14ac:dyDescent="0.25">
      <c r="A116" t="s">
        <v>744</v>
      </c>
      <c r="B116">
        <v>2010</v>
      </c>
      <c r="C116" t="s">
        <v>811</v>
      </c>
      <c r="D116" t="s">
        <v>844</v>
      </c>
      <c r="E116" t="s">
        <v>844</v>
      </c>
      <c r="F116" t="s">
        <v>844</v>
      </c>
      <c r="G116">
        <v>725</v>
      </c>
      <c r="H116" t="s">
        <v>859</v>
      </c>
      <c r="I116" t="s">
        <v>869</v>
      </c>
      <c r="J116" t="s">
        <v>844</v>
      </c>
      <c r="K116" t="s">
        <v>844</v>
      </c>
      <c r="L116" t="s">
        <v>844</v>
      </c>
      <c r="M116" t="s">
        <v>848</v>
      </c>
      <c r="N116" t="s">
        <v>849</v>
      </c>
      <c r="O116" t="s">
        <v>844</v>
      </c>
      <c r="P116">
        <v>0</v>
      </c>
      <c r="Q116" t="s">
        <v>844</v>
      </c>
      <c r="R116">
        <v>275</v>
      </c>
      <c r="S116">
        <v>79</v>
      </c>
      <c r="T116">
        <v>0.410909090909091</v>
      </c>
      <c r="U116" s="7" t="s">
        <v>850</v>
      </c>
      <c r="V116">
        <v>113</v>
      </c>
      <c r="W116" s="7" t="s">
        <v>851</v>
      </c>
      <c r="X116">
        <v>28</v>
      </c>
      <c r="Y116" s="7" t="s">
        <v>870</v>
      </c>
    </row>
    <row r="117" spans="1:25" ht="30" x14ac:dyDescent="0.25">
      <c r="A117" t="s">
        <v>732</v>
      </c>
      <c r="B117">
        <v>2010</v>
      </c>
      <c r="C117" t="s">
        <v>806</v>
      </c>
      <c r="D117">
        <v>4</v>
      </c>
      <c r="E117">
        <v>4</v>
      </c>
      <c r="F117">
        <v>4</v>
      </c>
      <c r="G117">
        <v>820</v>
      </c>
      <c r="H117" t="s">
        <v>841</v>
      </c>
      <c r="I117" t="s">
        <v>852</v>
      </c>
      <c r="J117">
        <v>2007</v>
      </c>
      <c r="K117" t="s">
        <v>864</v>
      </c>
      <c r="L117" t="s">
        <v>844</v>
      </c>
      <c r="M117" t="s">
        <v>845</v>
      </c>
      <c r="N117" t="s">
        <v>845</v>
      </c>
      <c r="O117" t="s">
        <v>844</v>
      </c>
      <c r="P117">
        <v>0</v>
      </c>
      <c r="Q117" t="s">
        <v>844</v>
      </c>
      <c r="R117">
        <v>275</v>
      </c>
      <c r="S117">
        <v>67</v>
      </c>
      <c r="T117">
        <v>0.24363636363636401</v>
      </c>
      <c r="U117" s="7" t="s">
        <v>846</v>
      </c>
      <c r="V117">
        <v>67</v>
      </c>
      <c r="W117" s="7" t="s">
        <v>846</v>
      </c>
      <c r="X117">
        <v>28</v>
      </c>
      <c r="Y117" s="7" t="s">
        <v>870</v>
      </c>
    </row>
    <row r="118" spans="1:25" ht="45" x14ac:dyDescent="0.25">
      <c r="A118" t="s">
        <v>530</v>
      </c>
      <c r="B118">
        <v>2010</v>
      </c>
      <c r="C118" t="s">
        <v>804</v>
      </c>
      <c r="D118">
        <v>4</v>
      </c>
      <c r="E118">
        <v>4</v>
      </c>
      <c r="F118">
        <v>4</v>
      </c>
      <c r="G118">
        <v>870</v>
      </c>
      <c r="H118" t="s">
        <v>859</v>
      </c>
      <c r="I118" t="s">
        <v>842</v>
      </c>
      <c r="J118">
        <v>2007</v>
      </c>
      <c r="K118" t="s">
        <v>864</v>
      </c>
      <c r="L118" t="s">
        <v>844</v>
      </c>
      <c r="M118" t="s">
        <v>848</v>
      </c>
      <c r="N118" t="s">
        <v>849</v>
      </c>
      <c r="O118" t="s">
        <v>844</v>
      </c>
      <c r="P118">
        <v>0</v>
      </c>
      <c r="Q118" t="s">
        <v>844</v>
      </c>
      <c r="R118">
        <v>275</v>
      </c>
      <c r="S118">
        <v>79</v>
      </c>
      <c r="T118">
        <v>0.410909090909091</v>
      </c>
      <c r="U118" s="7" t="s">
        <v>850</v>
      </c>
      <c r="V118">
        <v>113</v>
      </c>
      <c r="W118" s="7" t="s">
        <v>851</v>
      </c>
      <c r="X118">
        <v>28</v>
      </c>
      <c r="Y118" s="7" t="s">
        <v>870</v>
      </c>
    </row>
    <row r="119" spans="1:25" ht="45" x14ac:dyDescent="0.25">
      <c r="A119" t="s">
        <v>514</v>
      </c>
      <c r="B119">
        <v>2010</v>
      </c>
      <c r="C119" t="s">
        <v>810</v>
      </c>
      <c r="D119">
        <v>3</v>
      </c>
      <c r="E119">
        <v>3</v>
      </c>
      <c r="F119">
        <v>3</v>
      </c>
      <c r="G119" t="s">
        <v>844</v>
      </c>
      <c r="H119" t="s">
        <v>841</v>
      </c>
      <c r="I119" t="s">
        <v>869</v>
      </c>
      <c r="J119">
        <v>2008</v>
      </c>
      <c r="K119" t="s">
        <v>867</v>
      </c>
      <c r="L119" t="s">
        <v>844</v>
      </c>
      <c r="M119" t="s">
        <v>810</v>
      </c>
      <c r="N119" t="s">
        <v>810</v>
      </c>
      <c r="O119" t="s">
        <v>844</v>
      </c>
      <c r="P119">
        <v>0</v>
      </c>
      <c r="Q119" t="s">
        <v>844</v>
      </c>
      <c r="R119">
        <v>275</v>
      </c>
      <c r="S119">
        <v>16</v>
      </c>
      <c r="T119">
        <v>5.8181818181818203E-2</v>
      </c>
      <c r="U119" s="7" t="s">
        <v>861</v>
      </c>
      <c r="V119">
        <v>16</v>
      </c>
      <c r="W119" s="7" t="s">
        <v>861</v>
      </c>
      <c r="X119">
        <v>28</v>
      </c>
      <c r="Y119" s="7" t="s">
        <v>870</v>
      </c>
    </row>
    <row r="120" spans="1:25" ht="45" x14ac:dyDescent="0.25">
      <c r="A120" t="s">
        <v>500</v>
      </c>
      <c r="B120">
        <v>2010</v>
      </c>
      <c r="C120" t="s">
        <v>811</v>
      </c>
      <c r="D120">
        <v>3</v>
      </c>
      <c r="E120">
        <v>3</v>
      </c>
      <c r="F120">
        <v>3</v>
      </c>
      <c r="G120">
        <v>725</v>
      </c>
      <c r="H120" t="s">
        <v>859</v>
      </c>
      <c r="I120" t="s">
        <v>869</v>
      </c>
      <c r="J120">
        <v>2008</v>
      </c>
      <c r="K120" t="s">
        <v>867</v>
      </c>
      <c r="L120" t="s">
        <v>844</v>
      </c>
      <c r="M120" t="s">
        <v>848</v>
      </c>
      <c r="N120" t="s">
        <v>849</v>
      </c>
      <c r="O120" t="s">
        <v>844</v>
      </c>
      <c r="P120">
        <v>0</v>
      </c>
      <c r="Q120" t="s">
        <v>844</v>
      </c>
      <c r="R120">
        <v>275</v>
      </c>
      <c r="S120">
        <v>79</v>
      </c>
      <c r="T120">
        <v>0.410909090909091</v>
      </c>
      <c r="U120" s="7" t="s">
        <v>850</v>
      </c>
      <c r="V120">
        <v>113</v>
      </c>
      <c r="W120" s="7" t="s">
        <v>851</v>
      </c>
      <c r="X120">
        <v>28</v>
      </c>
      <c r="Y120" s="7" t="s">
        <v>870</v>
      </c>
    </row>
    <row r="121" spans="1:25" ht="30" x14ac:dyDescent="0.25">
      <c r="A121" t="s">
        <v>488</v>
      </c>
      <c r="B121">
        <v>2010</v>
      </c>
      <c r="C121" t="s">
        <v>807</v>
      </c>
      <c r="D121" t="s">
        <v>844</v>
      </c>
      <c r="E121" t="s">
        <v>844</v>
      </c>
      <c r="F121" t="s">
        <v>844</v>
      </c>
      <c r="G121" t="s">
        <v>844</v>
      </c>
      <c r="H121" t="s">
        <v>852</v>
      </c>
      <c r="I121" t="s">
        <v>852</v>
      </c>
      <c r="J121" t="s">
        <v>844</v>
      </c>
      <c r="K121" t="s">
        <v>844</v>
      </c>
      <c r="L121" t="s">
        <v>860</v>
      </c>
      <c r="M121" t="s">
        <v>807</v>
      </c>
      <c r="N121" t="s">
        <v>807</v>
      </c>
      <c r="O121">
        <v>436.752366341163</v>
      </c>
      <c r="P121">
        <v>545.71430613308803</v>
      </c>
      <c r="Q121">
        <v>0.33</v>
      </c>
      <c r="R121">
        <v>275</v>
      </c>
      <c r="S121">
        <v>79</v>
      </c>
      <c r="T121">
        <v>0.28727272727272701</v>
      </c>
      <c r="U121" s="7" t="s">
        <v>858</v>
      </c>
      <c r="V121">
        <v>79</v>
      </c>
      <c r="W121" s="7" t="s">
        <v>858</v>
      </c>
      <c r="X121">
        <v>28</v>
      </c>
      <c r="Y121" s="7" t="s">
        <v>870</v>
      </c>
    </row>
    <row r="122" spans="1:25" ht="30" x14ac:dyDescent="0.25">
      <c r="A122" t="s">
        <v>476</v>
      </c>
      <c r="B122">
        <v>2010</v>
      </c>
      <c r="C122" t="s">
        <v>806</v>
      </c>
      <c r="D122">
        <v>3</v>
      </c>
      <c r="E122">
        <v>3</v>
      </c>
      <c r="F122">
        <v>3</v>
      </c>
      <c r="G122">
        <v>940</v>
      </c>
      <c r="H122" t="s">
        <v>859</v>
      </c>
      <c r="I122" t="s">
        <v>842</v>
      </c>
      <c r="J122">
        <v>2008</v>
      </c>
      <c r="K122" t="s">
        <v>867</v>
      </c>
      <c r="L122" t="s">
        <v>844</v>
      </c>
      <c r="M122" t="s">
        <v>845</v>
      </c>
      <c r="N122" t="s">
        <v>845</v>
      </c>
      <c r="O122" t="s">
        <v>844</v>
      </c>
      <c r="P122">
        <v>0</v>
      </c>
      <c r="Q122" t="s">
        <v>844</v>
      </c>
      <c r="R122">
        <v>275</v>
      </c>
      <c r="S122">
        <v>67</v>
      </c>
      <c r="T122">
        <v>0.24363636363636401</v>
      </c>
      <c r="U122" s="7" t="s">
        <v>846</v>
      </c>
      <c r="V122">
        <v>67</v>
      </c>
      <c r="W122" s="7" t="s">
        <v>846</v>
      </c>
      <c r="X122">
        <v>28</v>
      </c>
      <c r="Y122" s="7" t="s">
        <v>870</v>
      </c>
    </row>
    <row r="123" spans="1:25" ht="30" x14ac:dyDescent="0.25">
      <c r="A123" t="s">
        <v>464</v>
      </c>
      <c r="B123">
        <v>2010</v>
      </c>
      <c r="C123" t="s">
        <v>807</v>
      </c>
      <c r="D123">
        <v>3</v>
      </c>
      <c r="E123">
        <v>3</v>
      </c>
      <c r="F123">
        <v>3</v>
      </c>
      <c r="G123">
        <v>730</v>
      </c>
      <c r="H123" t="s">
        <v>859</v>
      </c>
      <c r="I123" t="s">
        <v>842</v>
      </c>
      <c r="J123">
        <v>2008</v>
      </c>
      <c r="K123" t="s">
        <v>867</v>
      </c>
      <c r="L123" t="s">
        <v>860</v>
      </c>
      <c r="M123" t="s">
        <v>807</v>
      </c>
      <c r="N123" t="s">
        <v>807</v>
      </c>
      <c r="O123">
        <v>427.26120820944698</v>
      </c>
      <c r="P123">
        <v>536.34724484259698</v>
      </c>
      <c r="Q123">
        <v>0.34</v>
      </c>
      <c r="R123">
        <v>275</v>
      </c>
      <c r="S123">
        <v>79</v>
      </c>
      <c r="T123">
        <v>0.28727272727272701</v>
      </c>
      <c r="U123" s="7" t="s">
        <v>858</v>
      </c>
      <c r="V123">
        <v>79</v>
      </c>
      <c r="W123" s="7" t="s">
        <v>858</v>
      </c>
      <c r="X123">
        <v>28</v>
      </c>
      <c r="Y123" s="7" t="s">
        <v>870</v>
      </c>
    </row>
    <row r="124" spans="1:25" ht="45" x14ac:dyDescent="0.25">
      <c r="A124" t="s">
        <v>452</v>
      </c>
      <c r="B124">
        <v>2010</v>
      </c>
      <c r="C124" t="s">
        <v>811</v>
      </c>
      <c r="D124">
        <v>3</v>
      </c>
      <c r="E124">
        <v>3</v>
      </c>
      <c r="F124">
        <v>3</v>
      </c>
      <c r="G124">
        <v>910</v>
      </c>
      <c r="H124" t="s">
        <v>859</v>
      </c>
      <c r="I124" t="s">
        <v>842</v>
      </c>
      <c r="J124">
        <v>2008</v>
      </c>
      <c r="K124" t="s">
        <v>867</v>
      </c>
      <c r="L124" t="s">
        <v>844</v>
      </c>
      <c r="M124" t="s">
        <v>848</v>
      </c>
      <c r="N124" t="s">
        <v>849</v>
      </c>
      <c r="O124" t="s">
        <v>844</v>
      </c>
      <c r="P124">
        <v>0</v>
      </c>
      <c r="Q124" t="s">
        <v>844</v>
      </c>
      <c r="R124">
        <v>275</v>
      </c>
      <c r="S124">
        <v>79</v>
      </c>
      <c r="T124">
        <v>0.410909090909091</v>
      </c>
      <c r="U124" s="7" t="s">
        <v>850</v>
      </c>
      <c r="V124">
        <v>113</v>
      </c>
      <c r="W124" s="7" t="s">
        <v>851</v>
      </c>
      <c r="X124">
        <v>28</v>
      </c>
      <c r="Y124" s="7" t="s">
        <v>870</v>
      </c>
    </row>
    <row r="125" spans="1:25" ht="30" x14ac:dyDescent="0.25">
      <c r="A125" t="s">
        <v>762</v>
      </c>
      <c r="B125">
        <v>2010</v>
      </c>
      <c r="C125" t="s">
        <v>807</v>
      </c>
      <c r="D125">
        <v>4</v>
      </c>
      <c r="E125">
        <v>4</v>
      </c>
      <c r="F125">
        <v>4</v>
      </c>
      <c r="G125" t="s">
        <v>844</v>
      </c>
      <c r="H125" t="s">
        <v>852</v>
      </c>
      <c r="I125" t="s">
        <v>852</v>
      </c>
      <c r="J125">
        <v>2007</v>
      </c>
      <c r="K125" t="s">
        <v>864</v>
      </c>
      <c r="L125" t="s">
        <v>860</v>
      </c>
      <c r="M125" t="s">
        <v>807</v>
      </c>
      <c r="N125" t="s">
        <v>807</v>
      </c>
      <c r="O125">
        <v>570.28886628261898</v>
      </c>
      <c r="P125">
        <v>661.94243407804004</v>
      </c>
      <c r="Q125">
        <v>0.25</v>
      </c>
      <c r="R125">
        <v>275</v>
      </c>
      <c r="S125">
        <v>79</v>
      </c>
      <c r="T125">
        <v>0.28727272727272701</v>
      </c>
      <c r="U125" s="7" t="s">
        <v>858</v>
      </c>
      <c r="V125">
        <v>79</v>
      </c>
      <c r="W125" s="7" t="s">
        <v>858</v>
      </c>
      <c r="X125">
        <v>28</v>
      </c>
      <c r="Y125" s="7" t="s">
        <v>870</v>
      </c>
    </row>
    <row r="126" spans="1:25" ht="30" x14ac:dyDescent="0.25">
      <c r="A126" t="s">
        <v>746</v>
      </c>
      <c r="B126">
        <v>2010</v>
      </c>
      <c r="C126" t="s">
        <v>807</v>
      </c>
      <c r="D126">
        <v>4</v>
      </c>
      <c r="E126">
        <v>4</v>
      </c>
      <c r="F126">
        <v>4</v>
      </c>
      <c r="G126">
        <v>940</v>
      </c>
      <c r="H126" t="s">
        <v>859</v>
      </c>
      <c r="I126" t="s">
        <v>842</v>
      </c>
      <c r="J126">
        <v>2007</v>
      </c>
      <c r="K126" t="s">
        <v>864</v>
      </c>
      <c r="L126" t="s">
        <v>860</v>
      </c>
      <c r="M126" t="s">
        <v>807</v>
      </c>
      <c r="N126" t="s">
        <v>807</v>
      </c>
      <c r="O126">
        <v>491.75906481355599</v>
      </c>
      <c r="P126">
        <v>582.08215835073997</v>
      </c>
      <c r="Q126">
        <v>0.32</v>
      </c>
      <c r="R126">
        <v>275</v>
      </c>
      <c r="S126">
        <v>79</v>
      </c>
      <c r="T126">
        <v>0.28727272727272701</v>
      </c>
      <c r="U126" s="7" t="s">
        <v>858</v>
      </c>
      <c r="V126">
        <v>79</v>
      </c>
      <c r="W126" s="7" t="s">
        <v>858</v>
      </c>
      <c r="X126">
        <v>28</v>
      </c>
      <c r="Y126" s="7" t="s">
        <v>870</v>
      </c>
    </row>
    <row r="127" spans="1:25" ht="30" x14ac:dyDescent="0.25">
      <c r="A127" t="s">
        <v>748</v>
      </c>
      <c r="B127">
        <v>2011</v>
      </c>
      <c r="C127" t="s">
        <v>807</v>
      </c>
      <c r="D127">
        <v>3</v>
      </c>
      <c r="E127">
        <v>3</v>
      </c>
      <c r="F127">
        <v>3</v>
      </c>
      <c r="G127">
        <v>730</v>
      </c>
      <c r="H127" t="s">
        <v>841</v>
      </c>
      <c r="I127" t="s">
        <v>842</v>
      </c>
      <c r="J127">
        <v>2009</v>
      </c>
      <c r="K127" t="s">
        <v>864</v>
      </c>
      <c r="L127" t="s">
        <v>860</v>
      </c>
      <c r="M127" t="s">
        <v>807</v>
      </c>
      <c r="N127" t="s">
        <v>807</v>
      </c>
      <c r="O127">
        <v>596.10759159418899</v>
      </c>
      <c r="P127">
        <v>720.29667317631197</v>
      </c>
      <c r="Q127">
        <v>0.3</v>
      </c>
      <c r="R127">
        <v>275</v>
      </c>
      <c r="S127">
        <v>79</v>
      </c>
      <c r="T127">
        <v>0.28727272727272701</v>
      </c>
      <c r="U127" s="7" t="s">
        <v>858</v>
      </c>
      <c r="V127">
        <v>79</v>
      </c>
      <c r="W127" s="7" t="s">
        <v>858</v>
      </c>
      <c r="X127">
        <v>11</v>
      </c>
      <c r="Y127" s="7" t="s">
        <v>871</v>
      </c>
    </row>
    <row r="128" spans="1:25" ht="30" x14ac:dyDescent="0.25">
      <c r="A128" t="s">
        <v>766</v>
      </c>
      <c r="B128">
        <v>2011</v>
      </c>
      <c r="C128" t="s">
        <v>806</v>
      </c>
      <c r="D128">
        <v>3</v>
      </c>
      <c r="E128">
        <v>3</v>
      </c>
      <c r="F128">
        <v>3</v>
      </c>
      <c r="G128">
        <v>765</v>
      </c>
      <c r="H128" t="s">
        <v>859</v>
      </c>
      <c r="I128" t="s">
        <v>842</v>
      </c>
      <c r="J128">
        <v>2009</v>
      </c>
      <c r="K128" t="s">
        <v>864</v>
      </c>
      <c r="L128" t="s">
        <v>844</v>
      </c>
      <c r="M128" t="s">
        <v>845</v>
      </c>
      <c r="N128" t="s">
        <v>845</v>
      </c>
      <c r="O128" t="s">
        <v>844</v>
      </c>
      <c r="P128">
        <v>0</v>
      </c>
      <c r="Q128" t="s">
        <v>844</v>
      </c>
      <c r="R128">
        <v>275</v>
      </c>
      <c r="S128">
        <v>67</v>
      </c>
      <c r="T128">
        <v>0.24363636363636401</v>
      </c>
      <c r="U128" s="7" t="s">
        <v>846</v>
      </c>
      <c r="V128">
        <v>67</v>
      </c>
      <c r="W128" s="7" t="s">
        <v>846</v>
      </c>
      <c r="X128">
        <v>11</v>
      </c>
      <c r="Y128" s="7" t="s">
        <v>871</v>
      </c>
    </row>
    <row r="129" spans="1:25" ht="45" x14ac:dyDescent="0.25">
      <c r="A129" t="s">
        <v>718</v>
      </c>
      <c r="B129">
        <v>2011</v>
      </c>
      <c r="C129" t="s">
        <v>808</v>
      </c>
      <c r="D129">
        <v>2</v>
      </c>
      <c r="E129">
        <v>2</v>
      </c>
      <c r="F129">
        <v>2</v>
      </c>
      <c r="G129">
        <v>540</v>
      </c>
      <c r="H129" t="s">
        <v>859</v>
      </c>
      <c r="I129" t="s">
        <v>842</v>
      </c>
      <c r="J129">
        <v>2010</v>
      </c>
      <c r="K129" t="s">
        <v>855</v>
      </c>
      <c r="L129" t="s">
        <v>844</v>
      </c>
      <c r="M129" t="s">
        <v>853</v>
      </c>
      <c r="N129" t="s">
        <v>849</v>
      </c>
      <c r="O129" t="s">
        <v>844</v>
      </c>
      <c r="P129">
        <v>0</v>
      </c>
      <c r="Q129" t="s">
        <v>844</v>
      </c>
      <c r="R129">
        <v>275</v>
      </c>
      <c r="S129">
        <v>34</v>
      </c>
      <c r="T129">
        <v>0.410909090909091</v>
      </c>
      <c r="U129" s="7" t="s">
        <v>854</v>
      </c>
      <c r="V129">
        <v>113</v>
      </c>
      <c r="W129" s="7" t="s">
        <v>851</v>
      </c>
      <c r="X129">
        <v>11</v>
      </c>
      <c r="Y129" s="7" t="s">
        <v>871</v>
      </c>
    </row>
    <row r="130" spans="1:25" ht="30" x14ac:dyDescent="0.25">
      <c r="A130" t="s">
        <v>516</v>
      </c>
      <c r="B130">
        <v>2011</v>
      </c>
      <c r="C130" t="s">
        <v>807</v>
      </c>
      <c r="D130" t="s">
        <v>844</v>
      </c>
      <c r="E130" t="s">
        <v>844</v>
      </c>
      <c r="F130" t="s">
        <v>844</v>
      </c>
      <c r="G130">
        <v>720</v>
      </c>
      <c r="H130" t="s">
        <v>859</v>
      </c>
      <c r="I130" t="s">
        <v>842</v>
      </c>
      <c r="J130" t="s">
        <v>844</v>
      </c>
      <c r="K130" t="s">
        <v>844</v>
      </c>
      <c r="L130" t="s">
        <v>860</v>
      </c>
      <c r="M130" t="s">
        <v>807</v>
      </c>
      <c r="N130" t="s">
        <v>807</v>
      </c>
      <c r="O130">
        <v>405.44849267611198</v>
      </c>
      <c r="P130">
        <v>491.43946730882101</v>
      </c>
      <c r="Q130">
        <v>0.3</v>
      </c>
      <c r="R130">
        <v>275</v>
      </c>
      <c r="S130">
        <v>79</v>
      </c>
      <c r="T130">
        <v>0.28727272727272701</v>
      </c>
      <c r="U130" s="7" t="s">
        <v>858</v>
      </c>
      <c r="V130">
        <v>79</v>
      </c>
      <c r="W130" s="7" t="s">
        <v>858</v>
      </c>
      <c r="X130">
        <v>11</v>
      </c>
      <c r="Y130" s="7" t="s">
        <v>871</v>
      </c>
    </row>
    <row r="131" spans="1:25" ht="30" x14ac:dyDescent="0.25">
      <c r="A131" t="s">
        <v>502</v>
      </c>
      <c r="B131">
        <v>2011</v>
      </c>
      <c r="C131" t="s">
        <v>807</v>
      </c>
      <c r="D131">
        <v>4</v>
      </c>
      <c r="E131">
        <v>4</v>
      </c>
      <c r="F131">
        <v>4</v>
      </c>
      <c r="G131" t="s">
        <v>844</v>
      </c>
      <c r="H131" t="s">
        <v>852</v>
      </c>
      <c r="I131" t="s">
        <v>842</v>
      </c>
      <c r="J131">
        <v>2008</v>
      </c>
      <c r="K131" t="s">
        <v>867</v>
      </c>
      <c r="L131" t="s">
        <v>860</v>
      </c>
      <c r="M131" t="s">
        <v>807</v>
      </c>
      <c r="N131" t="s">
        <v>807</v>
      </c>
      <c r="O131">
        <v>507.24491095982597</v>
      </c>
      <c r="P131">
        <v>601.38733525931798</v>
      </c>
      <c r="Q131">
        <v>0.31</v>
      </c>
      <c r="R131">
        <v>275</v>
      </c>
      <c r="S131">
        <v>79</v>
      </c>
      <c r="T131">
        <v>0.28727272727272701</v>
      </c>
      <c r="U131" s="7" t="s">
        <v>858</v>
      </c>
      <c r="V131">
        <v>79</v>
      </c>
      <c r="W131" s="7" t="s">
        <v>858</v>
      </c>
      <c r="X131">
        <v>11</v>
      </c>
      <c r="Y131" s="7" t="s">
        <v>871</v>
      </c>
    </row>
    <row r="132" spans="1:25" ht="30" x14ac:dyDescent="0.25">
      <c r="A132" t="s">
        <v>490</v>
      </c>
      <c r="B132">
        <v>2011</v>
      </c>
      <c r="C132" t="s">
        <v>807</v>
      </c>
      <c r="D132">
        <v>3</v>
      </c>
      <c r="E132">
        <v>3</v>
      </c>
      <c r="F132">
        <v>3</v>
      </c>
      <c r="G132">
        <v>735</v>
      </c>
      <c r="H132" t="s">
        <v>841</v>
      </c>
      <c r="I132" t="s">
        <v>842</v>
      </c>
      <c r="J132">
        <v>2009</v>
      </c>
      <c r="K132" t="s">
        <v>864</v>
      </c>
      <c r="L132" t="s">
        <v>860</v>
      </c>
      <c r="M132" t="s">
        <v>807</v>
      </c>
      <c r="N132" t="s">
        <v>807</v>
      </c>
      <c r="O132">
        <v>413.38341748625498</v>
      </c>
      <c r="P132">
        <v>496.070195521561</v>
      </c>
      <c r="Q132">
        <v>0.3</v>
      </c>
      <c r="R132">
        <v>275</v>
      </c>
      <c r="S132">
        <v>79</v>
      </c>
      <c r="T132">
        <v>0.28727272727272701</v>
      </c>
      <c r="U132" s="7" t="s">
        <v>858</v>
      </c>
      <c r="V132">
        <v>79</v>
      </c>
      <c r="W132" s="7" t="s">
        <v>858</v>
      </c>
      <c r="X132">
        <v>11</v>
      </c>
      <c r="Y132" s="7" t="s">
        <v>871</v>
      </c>
    </row>
    <row r="133" spans="1:25" ht="45" x14ac:dyDescent="0.25">
      <c r="A133" t="s">
        <v>478</v>
      </c>
      <c r="B133">
        <v>2011</v>
      </c>
      <c r="C133" t="s">
        <v>804</v>
      </c>
      <c r="D133">
        <v>3</v>
      </c>
      <c r="E133">
        <v>3</v>
      </c>
      <c r="F133">
        <v>3</v>
      </c>
      <c r="G133" t="s">
        <v>844</v>
      </c>
      <c r="H133" t="s">
        <v>852</v>
      </c>
      <c r="I133" t="s">
        <v>842</v>
      </c>
      <c r="J133">
        <v>2009</v>
      </c>
      <c r="K133" t="s">
        <v>864</v>
      </c>
      <c r="L133" t="s">
        <v>844</v>
      </c>
      <c r="M133" t="s">
        <v>848</v>
      </c>
      <c r="N133" t="s">
        <v>849</v>
      </c>
      <c r="O133" t="s">
        <v>844</v>
      </c>
      <c r="P133">
        <v>0</v>
      </c>
      <c r="Q133" t="s">
        <v>844</v>
      </c>
      <c r="R133">
        <v>275</v>
      </c>
      <c r="S133">
        <v>79</v>
      </c>
      <c r="T133">
        <v>0.410909090909091</v>
      </c>
      <c r="U133" s="7" t="s">
        <v>850</v>
      </c>
      <c r="V133">
        <v>113</v>
      </c>
      <c r="W133" s="7" t="s">
        <v>851</v>
      </c>
      <c r="X133">
        <v>11</v>
      </c>
      <c r="Y133" s="7" t="s">
        <v>871</v>
      </c>
    </row>
    <row r="134" spans="1:25" ht="30" x14ac:dyDescent="0.25">
      <c r="A134" t="s">
        <v>466</v>
      </c>
      <c r="B134">
        <v>2011</v>
      </c>
      <c r="C134" t="s">
        <v>807</v>
      </c>
      <c r="D134">
        <v>4</v>
      </c>
      <c r="E134">
        <v>4</v>
      </c>
      <c r="F134">
        <v>4</v>
      </c>
      <c r="G134" t="s">
        <v>844</v>
      </c>
      <c r="H134" t="s">
        <v>859</v>
      </c>
      <c r="I134" t="s">
        <v>842</v>
      </c>
      <c r="J134">
        <v>2008</v>
      </c>
      <c r="K134" t="s">
        <v>867</v>
      </c>
      <c r="L134" t="s">
        <v>860</v>
      </c>
      <c r="M134" t="s">
        <v>807</v>
      </c>
      <c r="N134" t="s">
        <v>807</v>
      </c>
      <c r="O134">
        <v>431.469350036295</v>
      </c>
      <c r="P134">
        <v>532.26759140693503</v>
      </c>
      <c r="Q134">
        <v>0.37</v>
      </c>
      <c r="R134">
        <v>275</v>
      </c>
      <c r="S134">
        <v>79</v>
      </c>
      <c r="T134">
        <v>0.28727272727272701</v>
      </c>
      <c r="U134" s="7" t="s">
        <v>858</v>
      </c>
      <c r="V134">
        <v>79</v>
      </c>
      <c r="W134" s="7" t="s">
        <v>858</v>
      </c>
      <c r="X134">
        <v>11</v>
      </c>
      <c r="Y134" s="7" t="s">
        <v>871</v>
      </c>
    </row>
    <row r="135" spans="1:25" ht="45" x14ac:dyDescent="0.25">
      <c r="A135" t="s">
        <v>454</v>
      </c>
      <c r="B135">
        <v>2011</v>
      </c>
      <c r="C135" t="s">
        <v>804</v>
      </c>
      <c r="D135">
        <v>2</v>
      </c>
      <c r="E135">
        <v>2</v>
      </c>
      <c r="F135">
        <v>2</v>
      </c>
      <c r="G135">
        <v>580</v>
      </c>
      <c r="H135" t="s">
        <v>859</v>
      </c>
      <c r="I135" t="s">
        <v>842</v>
      </c>
      <c r="J135">
        <v>2010</v>
      </c>
      <c r="K135" t="s">
        <v>855</v>
      </c>
      <c r="L135" t="s">
        <v>844</v>
      </c>
      <c r="M135" t="s">
        <v>848</v>
      </c>
      <c r="N135" t="s">
        <v>849</v>
      </c>
      <c r="O135" t="s">
        <v>844</v>
      </c>
      <c r="P135">
        <v>0</v>
      </c>
      <c r="Q135" t="s">
        <v>844</v>
      </c>
      <c r="R135">
        <v>275</v>
      </c>
      <c r="S135">
        <v>79</v>
      </c>
      <c r="T135">
        <v>0.410909090909091</v>
      </c>
      <c r="U135" s="7" t="s">
        <v>850</v>
      </c>
      <c r="V135">
        <v>113</v>
      </c>
      <c r="W135" s="7" t="s">
        <v>851</v>
      </c>
      <c r="X135">
        <v>11</v>
      </c>
      <c r="Y135" s="7" t="s">
        <v>871</v>
      </c>
    </row>
    <row r="136" spans="1:25" ht="45" x14ac:dyDescent="0.25">
      <c r="A136" t="s">
        <v>764</v>
      </c>
      <c r="B136">
        <v>2011</v>
      </c>
      <c r="C136" t="s">
        <v>814</v>
      </c>
      <c r="D136">
        <v>3</v>
      </c>
      <c r="E136">
        <v>3</v>
      </c>
      <c r="F136">
        <v>3</v>
      </c>
      <c r="G136">
        <v>880</v>
      </c>
      <c r="H136" t="s">
        <v>841</v>
      </c>
      <c r="I136" t="s">
        <v>842</v>
      </c>
      <c r="J136">
        <v>2009</v>
      </c>
      <c r="K136" t="s">
        <v>864</v>
      </c>
      <c r="L136" t="s">
        <v>844</v>
      </c>
      <c r="M136" t="s">
        <v>853</v>
      </c>
      <c r="N136" t="s">
        <v>849</v>
      </c>
      <c r="O136" t="s">
        <v>844</v>
      </c>
      <c r="P136">
        <v>0</v>
      </c>
      <c r="Q136" t="s">
        <v>844</v>
      </c>
      <c r="R136">
        <v>275</v>
      </c>
      <c r="S136">
        <v>34</v>
      </c>
      <c r="T136">
        <v>0.410909090909091</v>
      </c>
      <c r="U136" s="7" t="s">
        <v>854</v>
      </c>
      <c r="V136">
        <v>113</v>
      </c>
      <c r="W136" s="7" t="s">
        <v>851</v>
      </c>
      <c r="X136">
        <v>11</v>
      </c>
      <c r="Y136" s="7" t="s">
        <v>871</v>
      </c>
    </row>
    <row r="137" spans="1:25" ht="45" x14ac:dyDescent="0.25">
      <c r="A137" t="s">
        <v>750</v>
      </c>
      <c r="B137">
        <v>2011</v>
      </c>
      <c r="C137" t="s">
        <v>812</v>
      </c>
      <c r="D137">
        <v>3</v>
      </c>
      <c r="E137">
        <v>3</v>
      </c>
      <c r="F137">
        <v>3</v>
      </c>
      <c r="G137">
        <v>815</v>
      </c>
      <c r="H137" t="s">
        <v>859</v>
      </c>
      <c r="I137" t="s">
        <v>842</v>
      </c>
      <c r="J137">
        <v>2009</v>
      </c>
      <c r="K137" t="s">
        <v>864</v>
      </c>
      <c r="L137" t="s">
        <v>844</v>
      </c>
      <c r="M137" t="s">
        <v>848</v>
      </c>
      <c r="N137" t="s">
        <v>849</v>
      </c>
      <c r="O137" t="s">
        <v>844</v>
      </c>
      <c r="P137">
        <v>0</v>
      </c>
      <c r="Q137" t="s">
        <v>844</v>
      </c>
      <c r="R137">
        <v>275</v>
      </c>
      <c r="S137">
        <v>79</v>
      </c>
      <c r="T137">
        <v>0.410909090909091</v>
      </c>
      <c r="U137" s="7" t="s">
        <v>850</v>
      </c>
      <c r="V137">
        <v>113</v>
      </c>
      <c r="W137" s="7" t="s">
        <v>851</v>
      </c>
      <c r="X137">
        <v>11</v>
      </c>
      <c r="Y137" s="7" t="s">
        <v>871</v>
      </c>
    </row>
    <row r="138" spans="1:25" ht="30" x14ac:dyDescent="0.25">
      <c r="A138" t="s">
        <v>188</v>
      </c>
      <c r="B138">
        <v>2012</v>
      </c>
      <c r="C138" t="s">
        <v>803</v>
      </c>
      <c r="D138">
        <v>3</v>
      </c>
      <c r="E138">
        <v>3</v>
      </c>
      <c r="F138">
        <v>3</v>
      </c>
      <c r="G138">
        <v>725</v>
      </c>
      <c r="H138" t="s">
        <v>841</v>
      </c>
      <c r="I138" t="s">
        <v>842</v>
      </c>
      <c r="J138">
        <v>2010</v>
      </c>
      <c r="K138" t="s">
        <v>855</v>
      </c>
      <c r="L138" t="s">
        <v>844</v>
      </c>
      <c r="M138" t="s">
        <v>845</v>
      </c>
      <c r="N138" t="s">
        <v>845</v>
      </c>
      <c r="O138" t="s">
        <v>844</v>
      </c>
      <c r="P138">
        <v>0</v>
      </c>
      <c r="Q138" t="s">
        <v>844</v>
      </c>
      <c r="R138">
        <v>275</v>
      </c>
      <c r="S138">
        <v>67</v>
      </c>
      <c r="T138">
        <v>0.24363636363636401</v>
      </c>
      <c r="U138" s="7" t="s">
        <v>846</v>
      </c>
      <c r="V138">
        <v>67</v>
      </c>
      <c r="W138" s="7" t="s">
        <v>846</v>
      </c>
      <c r="X138">
        <v>80</v>
      </c>
      <c r="Y138" s="7" t="s">
        <v>872</v>
      </c>
    </row>
    <row r="139" spans="1:25" ht="45" x14ac:dyDescent="0.25">
      <c r="A139" t="s">
        <v>190</v>
      </c>
      <c r="B139">
        <v>2012</v>
      </c>
      <c r="C139" t="s">
        <v>808</v>
      </c>
      <c r="D139">
        <v>3</v>
      </c>
      <c r="E139">
        <v>3</v>
      </c>
      <c r="F139">
        <v>3</v>
      </c>
      <c r="G139">
        <v>697</v>
      </c>
      <c r="H139" t="s">
        <v>841</v>
      </c>
      <c r="I139" t="s">
        <v>842</v>
      </c>
      <c r="J139">
        <v>2010</v>
      </c>
      <c r="K139" t="s">
        <v>855</v>
      </c>
      <c r="L139" t="s">
        <v>844</v>
      </c>
      <c r="M139" t="s">
        <v>853</v>
      </c>
      <c r="N139" t="s">
        <v>849</v>
      </c>
      <c r="O139" t="s">
        <v>844</v>
      </c>
      <c r="P139">
        <v>0</v>
      </c>
      <c r="Q139" t="s">
        <v>844</v>
      </c>
      <c r="R139">
        <v>275</v>
      </c>
      <c r="S139">
        <v>34</v>
      </c>
      <c r="T139">
        <v>0.410909090909091</v>
      </c>
      <c r="U139" s="7" t="s">
        <v>854</v>
      </c>
      <c r="V139">
        <v>113</v>
      </c>
      <c r="W139" s="7" t="s">
        <v>851</v>
      </c>
      <c r="X139">
        <v>80</v>
      </c>
      <c r="Y139" s="7" t="s">
        <v>872</v>
      </c>
    </row>
    <row r="140" spans="1:25" ht="30" x14ac:dyDescent="0.25">
      <c r="A140" t="s">
        <v>192</v>
      </c>
      <c r="B140">
        <v>2012</v>
      </c>
      <c r="C140" t="s">
        <v>803</v>
      </c>
      <c r="D140">
        <v>4</v>
      </c>
      <c r="E140">
        <v>4</v>
      </c>
      <c r="F140">
        <v>4</v>
      </c>
      <c r="G140">
        <v>620</v>
      </c>
      <c r="H140" t="s">
        <v>841</v>
      </c>
      <c r="I140" t="s">
        <v>842</v>
      </c>
      <c r="J140">
        <v>2009</v>
      </c>
      <c r="K140" t="s">
        <v>864</v>
      </c>
      <c r="L140" t="s">
        <v>844</v>
      </c>
      <c r="M140" t="s">
        <v>845</v>
      </c>
      <c r="N140" t="s">
        <v>845</v>
      </c>
      <c r="O140" t="s">
        <v>844</v>
      </c>
      <c r="P140">
        <v>0</v>
      </c>
      <c r="Q140" t="s">
        <v>844</v>
      </c>
      <c r="R140">
        <v>275</v>
      </c>
      <c r="S140">
        <v>67</v>
      </c>
      <c r="T140">
        <v>0.24363636363636401</v>
      </c>
      <c r="U140" s="7" t="s">
        <v>846</v>
      </c>
      <c r="V140">
        <v>67</v>
      </c>
      <c r="W140" s="7" t="s">
        <v>846</v>
      </c>
      <c r="X140">
        <v>80</v>
      </c>
      <c r="Y140" s="7" t="s">
        <v>872</v>
      </c>
    </row>
    <row r="141" spans="1:25" ht="45" x14ac:dyDescent="0.25">
      <c r="A141" t="s">
        <v>194</v>
      </c>
      <c r="B141">
        <v>2012</v>
      </c>
      <c r="C141" t="s">
        <v>812</v>
      </c>
      <c r="D141">
        <v>3</v>
      </c>
      <c r="E141">
        <v>3</v>
      </c>
      <c r="F141">
        <v>3</v>
      </c>
      <c r="G141">
        <v>638</v>
      </c>
      <c r="H141" t="s">
        <v>841</v>
      </c>
      <c r="I141" t="s">
        <v>842</v>
      </c>
      <c r="J141">
        <v>2010</v>
      </c>
      <c r="K141" t="s">
        <v>855</v>
      </c>
      <c r="L141" t="s">
        <v>844</v>
      </c>
      <c r="M141" t="s">
        <v>848</v>
      </c>
      <c r="N141" t="s">
        <v>849</v>
      </c>
      <c r="O141" t="s">
        <v>844</v>
      </c>
      <c r="P141">
        <v>0</v>
      </c>
      <c r="Q141" t="s">
        <v>844</v>
      </c>
      <c r="R141">
        <v>275</v>
      </c>
      <c r="S141">
        <v>79</v>
      </c>
      <c r="T141">
        <v>0.410909090909091</v>
      </c>
      <c r="U141" s="7" t="s">
        <v>850</v>
      </c>
      <c r="V141">
        <v>113</v>
      </c>
      <c r="W141" s="7" t="s">
        <v>851</v>
      </c>
      <c r="X141">
        <v>80</v>
      </c>
      <c r="Y141" s="7" t="s">
        <v>872</v>
      </c>
    </row>
    <row r="142" spans="1:25" ht="45" x14ac:dyDescent="0.25">
      <c r="A142" t="s">
        <v>196</v>
      </c>
      <c r="B142">
        <v>2012</v>
      </c>
      <c r="C142" t="s">
        <v>811</v>
      </c>
      <c r="D142" t="s">
        <v>844</v>
      </c>
      <c r="E142" t="s">
        <v>844</v>
      </c>
      <c r="F142" t="s">
        <v>844</v>
      </c>
      <c r="G142">
        <v>710</v>
      </c>
      <c r="H142" t="s">
        <v>859</v>
      </c>
      <c r="I142" t="s">
        <v>869</v>
      </c>
      <c r="J142" t="s">
        <v>844</v>
      </c>
      <c r="K142" t="s">
        <v>844</v>
      </c>
      <c r="L142" t="s">
        <v>844</v>
      </c>
      <c r="M142" t="s">
        <v>848</v>
      </c>
      <c r="N142" t="s">
        <v>849</v>
      </c>
      <c r="O142" t="s">
        <v>844</v>
      </c>
      <c r="P142">
        <v>0</v>
      </c>
      <c r="Q142" t="s">
        <v>844</v>
      </c>
      <c r="R142">
        <v>275</v>
      </c>
      <c r="S142">
        <v>79</v>
      </c>
      <c r="T142">
        <v>0.410909090909091</v>
      </c>
      <c r="U142" s="7" t="s">
        <v>850</v>
      </c>
      <c r="V142">
        <v>113</v>
      </c>
      <c r="W142" s="7" t="s">
        <v>851</v>
      </c>
      <c r="X142">
        <v>80</v>
      </c>
      <c r="Y142" s="7" t="s">
        <v>872</v>
      </c>
    </row>
    <row r="143" spans="1:25" ht="30" x14ac:dyDescent="0.25">
      <c r="A143" t="s">
        <v>198</v>
      </c>
      <c r="B143">
        <v>2012</v>
      </c>
      <c r="C143" t="s">
        <v>806</v>
      </c>
      <c r="D143">
        <v>2</v>
      </c>
      <c r="E143">
        <v>2</v>
      </c>
      <c r="F143">
        <v>2</v>
      </c>
      <c r="G143">
        <v>791</v>
      </c>
      <c r="H143" t="s">
        <v>841</v>
      </c>
      <c r="I143" t="s">
        <v>842</v>
      </c>
      <c r="J143">
        <v>2011</v>
      </c>
      <c r="K143" t="s">
        <v>863</v>
      </c>
      <c r="L143" t="s">
        <v>844</v>
      </c>
      <c r="M143" t="s">
        <v>845</v>
      </c>
      <c r="N143" t="s">
        <v>845</v>
      </c>
      <c r="O143" t="s">
        <v>844</v>
      </c>
      <c r="P143">
        <v>0</v>
      </c>
      <c r="Q143" t="s">
        <v>844</v>
      </c>
      <c r="R143">
        <v>275</v>
      </c>
      <c r="S143">
        <v>67</v>
      </c>
      <c r="T143">
        <v>0.24363636363636401</v>
      </c>
      <c r="U143" s="7" t="s">
        <v>846</v>
      </c>
      <c r="V143">
        <v>67</v>
      </c>
      <c r="W143" s="7" t="s">
        <v>846</v>
      </c>
      <c r="X143">
        <v>80</v>
      </c>
      <c r="Y143" s="7" t="s">
        <v>872</v>
      </c>
    </row>
    <row r="144" spans="1:25" ht="45" x14ac:dyDescent="0.25">
      <c r="A144" t="s">
        <v>200</v>
      </c>
      <c r="B144">
        <v>2012</v>
      </c>
      <c r="C144" t="s">
        <v>804</v>
      </c>
      <c r="D144">
        <v>3</v>
      </c>
      <c r="E144">
        <v>3</v>
      </c>
      <c r="F144">
        <v>3</v>
      </c>
      <c r="G144" t="s">
        <v>844</v>
      </c>
      <c r="H144" t="s">
        <v>852</v>
      </c>
      <c r="I144" t="s">
        <v>852</v>
      </c>
      <c r="J144">
        <v>2010</v>
      </c>
      <c r="K144" t="s">
        <v>855</v>
      </c>
      <c r="L144" t="s">
        <v>844</v>
      </c>
      <c r="M144" t="s">
        <v>848</v>
      </c>
      <c r="N144" t="s">
        <v>849</v>
      </c>
      <c r="O144" t="s">
        <v>844</v>
      </c>
      <c r="P144">
        <v>0</v>
      </c>
      <c r="Q144" t="s">
        <v>844</v>
      </c>
      <c r="R144">
        <v>275</v>
      </c>
      <c r="S144">
        <v>79</v>
      </c>
      <c r="T144">
        <v>0.410909090909091</v>
      </c>
      <c r="U144" s="7" t="s">
        <v>850</v>
      </c>
      <c r="V144">
        <v>113</v>
      </c>
      <c r="W144" s="7" t="s">
        <v>851</v>
      </c>
      <c r="X144">
        <v>80</v>
      </c>
      <c r="Y144" s="7" t="s">
        <v>872</v>
      </c>
    </row>
    <row r="145" spans="1:25" ht="45" x14ac:dyDescent="0.25">
      <c r="A145" t="s">
        <v>202</v>
      </c>
      <c r="B145">
        <v>2012</v>
      </c>
      <c r="C145" t="s">
        <v>811</v>
      </c>
      <c r="D145">
        <v>3</v>
      </c>
      <c r="E145">
        <v>3</v>
      </c>
      <c r="F145">
        <v>3</v>
      </c>
      <c r="G145">
        <v>710</v>
      </c>
      <c r="H145" t="s">
        <v>841</v>
      </c>
      <c r="I145" t="s">
        <v>869</v>
      </c>
      <c r="J145">
        <v>2010</v>
      </c>
      <c r="K145" t="s">
        <v>855</v>
      </c>
      <c r="L145" t="s">
        <v>844</v>
      </c>
      <c r="M145" t="s">
        <v>848</v>
      </c>
      <c r="N145" t="s">
        <v>849</v>
      </c>
      <c r="O145" t="s">
        <v>844</v>
      </c>
      <c r="P145">
        <v>0</v>
      </c>
      <c r="Q145" t="s">
        <v>844</v>
      </c>
      <c r="R145">
        <v>275</v>
      </c>
      <c r="S145">
        <v>79</v>
      </c>
      <c r="T145">
        <v>0.410909090909091</v>
      </c>
      <c r="U145" s="7" t="s">
        <v>850</v>
      </c>
      <c r="V145">
        <v>113</v>
      </c>
      <c r="W145" s="7" t="s">
        <v>851</v>
      </c>
      <c r="X145">
        <v>80</v>
      </c>
      <c r="Y145" s="7" t="s">
        <v>872</v>
      </c>
    </row>
    <row r="146" spans="1:25" ht="45" x14ac:dyDescent="0.25">
      <c r="A146" t="s">
        <v>204</v>
      </c>
      <c r="B146">
        <v>2012</v>
      </c>
      <c r="C146" t="s">
        <v>804</v>
      </c>
      <c r="D146">
        <v>3</v>
      </c>
      <c r="E146">
        <v>3</v>
      </c>
      <c r="F146">
        <v>3</v>
      </c>
      <c r="G146">
        <v>850</v>
      </c>
      <c r="H146" t="s">
        <v>859</v>
      </c>
      <c r="I146" t="s">
        <v>842</v>
      </c>
      <c r="J146">
        <v>2010</v>
      </c>
      <c r="K146" t="s">
        <v>855</v>
      </c>
      <c r="L146" t="s">
        <v>844</v>
      </c>
      <c r="M146" t="s">
        <v>848</v>
      </c>
      <c r="N146" t="s">
        <v>849</v>
      </c>
      <c r="O146" t="s">
        <v>844</v>
      </c>
      <c r="P146">
        <v>0</v>
      </c>
      <c r="Q146" t="s">
        <v>844</v>
      </c>
      <c r="R146">
        <v>275</v>
      </c>
      <c r="S146">
        <v>79</v>
      </c>
      <c r="T146">
        <v>0.410909090909091</v>
      </c>
      <c r="U146" s="7" t="s">
        <v>850</v>
      </c>
      <c r="V146">
        <v>113</v>
      </c>
      <c r="W146" s="7" t="s">
        <v>851</v>
      </c>
      <c r="X146">
        <v>80</v>
      </c>
      <c r="Y146" s="7" t="s">
        <v>872</v>
      </c>
    </row>
    <row r="147" spans="1:25" ht="30" x14ac:dyDescent="0.25">
      <c r="A147" t="s">
        <v>206</v>
      </c>
      <c r="B147">
        <v>2012</v>
      </c>
      <c r="C147" t="s">
        <v>806</v>
      </c>
      <c r="D147">
        <v>3</v>
      </c>
      <c r="E147">
        <v>3</v>
      </c>
      <c r="F147">
        <v>3</v>
      </c>
      <c r="G147">
        <v>650</v>
      </c>
      <c r="H147" t="s">
        <v>852</v>
      </c>
      <c r="I147" t="s">
        <v>842</v>
      </c>
      <c r="J147">
        <v>2010</v>
      </c>
      <c r="K147" t="s">
        <v>855</v>
      </c>
      <c r="L147" t="s">
        <v>844</v>
      </c>
      <c r="M147" t="s">
        <v>845</v>
      </c>
      <c r="N147" t="s">
        <v>845</v>
      </c>
      <c r="O147" t="s">
        <v>844</v>
      </c>
      <c r="P147">
        <v>0</v>
      </c>
      <c r="Q147" t="s">
        <v>844</v>
      </c>
      <c r="R147">
        <v>275</v>
      </c>
      <c r="S147">
        <v>67</v>
      </c>
      <c r="T147">
        <v>0.24363636363636401</v>
      </c>
      <c r="U147" s="7" t="s">
        <v>846</v>
      </c>
      <c r="V147">
        <v>67</v>
      </c>
      <c r="W147" s="7" t="s">
        <v>846</v>
      </c>
      <c r="X147">
        <v>80</v>
      </c>
      <c r="Y147" s="7" t="s">
        <v>872</v>
      </c>
    </row>
    <row r="148" spans="1:25" ht="30" x14ac:dyDescent="0.25">
      <c r="A148" t="s">
        <v>208</v>
      </c>
      <c r="B148">
        <v>2012</v>
      </c>
      <c r="C148" t="s">
        <v>807</v>
      </c>
      <c r="D148">
        <v>3</v>
      </c>
      <c r="E148">
        <v>3</v>
      </c>
      <c r="F148">
        <v>3</v>
      </c>
      <c r="G148">
        <v>790</v>
      </c>
      <c r="H148" t="s">
        <v>859</v>
      </c>
      <c r="I148" t="s">
        <v>842</v>
      </c>
      <c r="J148">
        <v>2010</v>
      </c>
      <c r="K148" t="s">
        <v>855</v>
      </c>
      <c r="L148" t="s">
        <v>860</v>
      </c>
      <c r="M148" t="s">
        <v>807</v>
      </c>
      <c r="N148" t="s">
        <v>807</v>
      </c>
      <c r="O148">
        <v>443.29729026413099</v>
      </c>
      <c r="P148">
        <v>522.05954071428596</v>
      </c>
      <c r="Q148">
        <v>0.26</v>
      </c>
      <c r="R148">
        <v>275</v>
      </c>
      <c r="S148">
        <v>79</v>
      </c>
      <c r="T148">
        <v>0.28727272727272701</v>
      </c>
      <c r="U148" s="7" t="s">
        <v>858</v>
      </c>
      <c r="V148">
        <v>79</v>
      </c>
      <c r="W148" s="7" t="s">
        <v>858</v>
      </c>
      <c r="X148">
        <v>80</v>
      </c>
      <c r="Y148" s="7" t="s">
        <v>872</v>
      </c>
    </row>
    <row r="149" spans="1:25" ht="30" x14ac:dyDescent="0.25">
      <c r="A149" t="s">
        <v>210</v>
      </c>
      <c r="B149">
        <v>2012</v>
      </c>
      <c r="C149" t="s">
        <v>807</v>
      </c>
      <c r="D149">
        <v>3</v>
      </c>
      <c r="E149">
        <v>3</v>
      </c>
      <c r="F149">
        <v>3</v>
      </c>
      <c r="G149">
        <v>800</v>
      </c>
      <c r="H149" t="s">
        <v>841</v>
      </c>
      <c r="I149" t="s">
        <v>869</v>
      </c>
      <c r="J149">
        <v>2010</v>
      </c>
      <c r="K149" t="s">
        <v>855</v>
      </c>
      <c r="L149" t="s">
        <v>860</v>
      </c>
      <c r="M149" t="s">
        <v>807</v>
      </c>
      <c r="N149" t="s">
        <v>807</v>
      </c>
      <c r="O149">
        <v>504.64729811301203</v>
      </c>
      <c r="P149">
        <v>607.12184561316303</v>
      </c>
      <c r="Q149">
        <v>0.26</v>
      </c>
      <c r="R149">
        <v>275</v>
      </c>
      <c r="S149">
        <v>79</v>
      </c>
      <c r="T149">
        <v>0.28727272727272701</v>
      </c>
      <c r="U149" s="7" t="s">
        <v>858</v>
      </c>
      <c r="V149">
        <v>79</v>
      </c>
      <c r="W149" s="7" t="s">
        <v>858</v>
      </c>
      <c r="X149">
        <v>80</v>
      </c>
      <c r="Y149" s="7" t="s">
        <v>872</v>
      </c>
    </row>
    <row r="150" spans="1:25" ht="30" x14ac:dyDescent="0.25">
      <c r="A150" t="s">
        <v>212</v>
      </c>
      <c r="B150">
        <v>2012</v>
      </c>
      <c r="C150" t="s">
        <v>806</v>
      </c>
      <c r="D150">
        <v>3</v>
      </c>
      <c r="E150">
        <v>3</v>
      </c>
      <c r="F150">
        <v>3</v>
      </c>
      <c r="G150">
        <v>800</v>
      </c>
      <c r="H150" t="s">
        <v>859</v>
      </c>
      <c r="I150" t="s">
        <v>842</v>
      </c>
      <c r="J150">
        <v>2010</v>
      </c>
      <c r="K150" t="s">
        <v>855</v>
      </c>
      <c r="L150" t="s">
        <v>844</v>
      </c>
      <c r="M150" t="s">
        <v>845</v>
      </c>
      <c r="N150" t="s">
        <v>845</v>
      </c>
      <c r="O150" t="s">
        <v>844</v>
      </c>
      <c r="P150">
        <v>0</v>
      </c>
      <c r="Q150" t="s">
        <v>844</v>
      </c>
      <c r="R150">
        <v>275</v>
      </c>
      <c r="S150">
        <v>67</v>
      </c>
      <c r="T150">
        <v>0.24363636363636401</v>
      </c>
      <c r="U150" s="7" t="s">
        <v>846</v>
      </c>
      <c r="V150">
        <v>67</v>
      </c>
      <c r="W150" s="7" t="s">
        <v>846</v>
      </c>
      <c r="X150">
        <v>80</v>
      </c>
      <c r="Y150" s="7" t="s">
        <v>872</v>
      </c>
    </row>
    <row r="151" spans="1:25" ht="30" x14ac:dyDescent="0.25">
      <c r="A151" t="s">
        <v>214</v>
      </c>
      <c r="B151">
        <v>2012</v>
      </c>
      <c r="C151" t="s">
        <v>807</v>
      </c>
      <c r="D151">
        <v>3</v>
      </c>
      <c r="E151">
        <v>3</v>
      </c>
      <c r="F151">
        <v>3</v>
      </c>
      <c r="G151">
        <v>695</v>
      </c>
      <c r="H151" t="s">
        <v>841</v>
      </c>
      <c r="I151" t="s">
        <v>842</v>
      </c>
      <c r="J151">
        <v>2010</v>
      </c>
      <c r="K151" t="s">
        <v>855</v>
      </c>
      <c r="L151" t="s">
        <v>860</v>
      </c>
      <c r="M151" t="s">
        <v>807</v>
      </c>
      <c r="N151" t="s">
        <v>807</v>
      </c>
      <c r="O151">
        <v>513.90112054090605</v>
      </c>
      <c r="P151">
        <v>610.30177251708506</v>
      </c>
      <c r="Q151">
        <v>0.26</v>
      </c>
      <c r="R151">
        <v>275</v>
      </c>
      <c r="S151">
        <v>79</v>
      </c>
      <c r="T151">
        <v>0.28727272727272701</v>
      </c>
      <c r="U151" s="7" t="s">
        <v>858</v>
      </c>
      <c r="V151">
        <v>79</v>
      </c>
      <c r="W151" s="7" t="s">
        <v>858</v>
      </c>
      <c r="X151">
        <v>80</v>
      </c>
      <c r="Y151" s="7" t="s">
        <v>872</v>
      </c>
    </row>
    <row r="152" spans="1:25" ht="30" x14ac:dyDescent="0.25">
      <c r="A152" t="s">
        <v>216</v>
      </c>
      <c r="B152">
        <v>2012</v>
      </c>
      <c r="C152" t="s">
        <v>807</v>
      </c>
      <c r="D152">
        <v>2</v>
      </c>
      <c r="E152">
        <v>2</v>
      </c>
      <c r="F152">
        <v>2</v>
      </c>
      <c r="G152">
        <v>681</v>
      </c>
      <c r="H152" t="s">
        <v>841</v>
      </c>
      <c r="I152" t="s">
        <v>842</v>
      </c>
      <c r="J152">
        <v>2011</v>
      </c>
      <c r="K152" t="s">
        <v>863</v>
      </c>
      <c r="L152" t="s">
        <v>860</v>
      </c>
      <c r="M152" t="s">
        <v>807</v>
      </c>
      <c r="N152" t="s">
        <v>807</v>
      </c>
      <c r="O152">
        <v>547.64884625531397</v>
      </c>
      <c r="P152">
        <v>628.30053870652205</v>
      </c>
      <c r="Q152">
        <v>0.2</v>
      </c>
      <c r="R152">
        <v>275</v>
      </c>
      <c r="S152">
        <v>79</v>
      </c>
      <c r="T152">
        <v>0.28727272727272701</v>
      </c>
      <c r="U152" s="7" t="s">
        <v>858</v>
      </c>
      <c r="V152">
        <v>79</v>
      </c>
      <c r="W152" s="7" t="s">
        <v>858</v>
      </c>
      <c r="X152">
        <v>80</v>
      </c>
      <c r="Y152" s="7" t="s">
        <v>872</v>
      </c>
    </row>
    <row r="153" spans="1:25" ht="45" x14ac:dyDescent="0.25">
      <c r="A153" t="s">
        <v>218</v>
      </c>
      <c r="B153">
        <v>2012</v>
      </c>
      <c r="C153" t="s">
        <v>805</v>
      </c>
      <c r="D153">
        <v>2</v>
      </c>
      <c r="E153">
        <v>2</v>
      </c>
      <c r="F153">
        <v>2</v>
      </c>
      <c r="G153">
        <v>693</v>
      </c>
      <c r="H153" t="s">
        <v>841</v>
      </c>
      <c r="I153" t="s">
        <v>842</v>
      </c>
      <c r="J153">
        <v>2011</v>
      </c>
      <c r="K153" t="s">
        <v>863</v>
      </c>
      <c r="L153" t="s">
        <v>844</v>
      </c>
      <c r="M153" t="s">
        <v>853</v>
      </c>
      <c r="N153" t="s">
        <v>849</v>
      </c>
      <c r="O153" t="s">
        <v>844</v>
      </c>
      <c r="P153">
        <v>0</v>
      </c>
      <c r="Q153" t="s">
        <v>844</v>
      </c>
      <c r="R153">
        <v>275</v>
      </c>
      <c r="S153">
        <v>34</v>
      </c>
      <c r="T153">
        <v>0.410909090909091</v>
      </c>
      <c r="U153" s="7" t="s">
        <v>854</v>
      </c>
      <c r="V153">
        <v>113</v>
      </c>
      <c r="W153" s="7" t="s">
        <v>851</v>
      </c>
      <c r="X153">
        <v>80</v>
      </c>
      <c r="Y153" s="7" t="s">
        <v>872</v>
      </c>
    </row>
    <row r="154" spans="1:25" ht="45" x14ac:dyDescent="0.25">
      <c r="A154" t="s">
        <v>220</v>
      </c>
      <c r="B154">
        <v>2012</v>
      </c>
      <c r="C154" t="s">
        <v>811</v>
      </c>
      <c r="D154">
        <v>2</v>
      </c>
      <c r="E154">
        <v>2</v>
      </c>
      <c r="F154">
        <v>2</v>
      </c>
      <c r="G154">
        <v>785</v>
      </c>
      <c r="H154" t="s">
        <v>859</v>
      </c>
      <c r="I154" t="s">
        <v>869</v>
      </c>
      <c r="J154">
        <v>2011</v>
      </c>
      <c r="K154" t="s">
        <v>863</v>
      </c>
      <c r="L154" t="s">
        <v>844</v>
      </c>
      <c r="M154" t="s">
        <v>848</v>
      </c>
      <c r="N154" t="s">
        <v>849</v>
      </c>
      <c r="O154" t="s">
        <v>844</v>
      </c>
      <c r="P154">
        <v>0</v>
      </c>
      <c r="Q154" t="s">
        <v>844</v>
      </c>
      <c r="R154">
        <v>275</v>
      </c>
      <c r="S154">
        <v>79</v>
      </c>
      <c r="T154">
        <v>0.410909090909091</v>
      </c>
      <c r="U154" s="7" t="s">
        <v>850</v>
      </c>
      <c r="V154">
        <v>113</v>
      </c>
      <c r="W154" s="7" t="s">
        <v>851</v>
      </c>
      <c r="X154">
        <v>80</v>
      </c>
      <c r="Y154" s="7" t="s">
        <v>872</v>
      </c>
    </row>
    <row r="155" spans="1:25" ht="45" x14ac:dyDescent="0.25">
      <c r="A155" t="s">
        <v>222</v>
      </c>
      <c r="B155">
        <v>2012</v>
      </c>
      <c r="C155" t="s">
        <v>804</v>
      </c>
      <c r="D155">
        <v>3</v>
      </c>
      <c r="E155">
        <v>3</v>
      </c>
      <c r="F155">
        <v>3</v>
      </c>
      <c r="G155">
        <v>720</v>
      </c>
      <c r="H155" t="s">
        <v>841</v>
      </c>
      <c r="I155" t="s">
        <v>842</v>
      </c>
      <c r="J155">
        <v>2010</v>
      </c>
      <c r="K155" t="s">
        <v>855</v>
      </c>
      <c r="L155" t="s">
        <v>844</v>
      </c>
      <c r="M155" t="s">
        <v>848</v>
      </c>
      <c r="N155" t="s">
        <v>849</v>
      </c>
      <c r="O155" t="s">
        <v>844</v>
      </c>
      <c r="P155">
        <v>0</v>
      </c>
      <c r="Q155" t="s">
        <v>844</v>
      </c>
      <c r="R155">
        <v>275</v>
      </c>
      <c r="S155">
        <v>79</v>
      </c>
      <c r="T155">
        <v>0.410909090909091</v>
      </c>
      <c r="U155" s="7" t="s">
        <v>850</v>
      </c>
      <c r="V155">
        <v>113</v>
      </c>
      <c r="W155" s="7" t="s">
        <v>851</v>
      </c>
      <c r="X155">
        <v>80</v>
      </c>
      <c r="Y155" s="7" t="s">
        <v>872</v>
      </c>
    </row>
    <row r="156" spans="1:25" ht="45" x14ac:dyDescent="0.25">
      <c r="A156" t="s">
        <v>224</v>
      </c>
      <c r="B156">
        <v>2012</v>
      </c>
      <c r="C156" t="s">
        <v>811</v>
      </c>
      <c r="D156">
        <v>3</v>
      </c>
      <c r="E156">
        <v>3</v>
      </c>
      <c r="F156">
        <v>3</v>
      </c>
      <c r="G156">
        <v>730</v>
      </c>
      <c r="H156" t="s">
        <v>841</v>
      </c>
      <c r="I156" t="s">
        <v>869</v>
      </c>
      <c r="J156">
        <v>2010</v>
      </c>
      <c r="K156" t="s">
        <v>855</v>
      </c>
      <c r="L156" t="s">
        <v>844</v>
      </c>
      <c r="M156" t="s">
        <v>848</v>
      </c>
      <c r="N156" t="s">
        <v>849</v>
      </c>
      <c r="O156" t="s">
        <v>844</v>
      </c>
      <c r="P156">
        <v>0</v>
      </c>
      <c r="Q156" t="s">
        <v>844</v>
      </c>
      <c r="R156">
        <v>275</v>
      </c>
      <c r="S156">
        <v>79</v>
      </c>
      <c r="T156">
        <v>0.410909090909091</v>
      </c>
      <c r="U156" s="7" t="s">
        <v>850</v>
      </c>
      <c r="V156">
        <v>113</v>
      </c>
      <c r="W156" s="7" t="s">
        <v>851</v>
      </c>
      <c r="X156">
        <v>80</v>
      </c>
      <c r="Y156" s="7" t="s">
        <v>872</v>
      </c>
    </row>
    <row r="157" spans="1:25" ht="30" x14ac:dyDescent="0.25">
      <c r="A157" t="s">
        <v>226</v>
      </c>
      <c r="B157">
        <v>2012</v>
      </c>
      <c r="C157" t="s">
        <v>806</v>
      </c>
      <c r="D157">
        <v>3</v>
      </c>
      <c r="E157">
        <v>3</v>
      </c>
      <c r="F157">
        <v>3</v>
      </c>
      <c r="G157">
        <v>740</v>
      </c>
      <c r="H157" t="s">
        <v>841</v>
      </c>
      <c r="I157" t="s">
        <v>842</v>
      </c>
      <c r="J157">
        <v>2010</v>
      </c>
      <c r="K157" t="s">
        <v>855</v>
      </c>
      <c r="L157" t="s">
        <v>844</v>
      </c>
      <c r="M157" t="s">
        <v>845</v>
      </c>
      <c r="N157" t="s">
        <v>845</v>
      </c>
      <c r="O157" t="s">
        <v>844</v>
      </c>
      <c r="P157">
        <v>0</v>
      </c>
      <c r="Q157" t="s">
        <v>844</v>
      </c>
      <c r="R157">
        <v>275</v>
      </c>
      <c r="S157">
        <v>67</v>
      </c>
      <c r="T157">
        <v>0.24363636363636401</v>
      </c>
      <c r="U157" s="7" t="s">
        <v>846</v>
      </c>
      <c r="V157">
        <v>67</v>
      </c>
      <c r="W157" s="7" t="s">
        <v>846</v>
      </c>
      <c r="X157">
        <v>80</v>
      </c>
      <c r="Y157" s="7" t="s">
        <v>872</v>
      </c>
    </row>
    <row r="158" spans="1:25" ht="45" x14ac:dyDescent="0.25">
      <c r="A158" t="s">
        <v>228</v>
      </c>
      <c r="B158">
        <v>2012</v>
      </c>
      <c r="C158" t="s">
        <v>811</v>
      </c>
      <c r="D158">
        <v>2</v>
      </c>
      <c r="E158">
        <v>2</v>
      </c>
      <c r="F158">
        <v>2</v>
      </c>
      <c r="G158">
        <v>660</v>
      </c>
      <c r="H158" t="s">
        <v>852</v>
      </c>
      <c r="I158" t="s">
        <v>842</v>
      </c>
      <c r="J158">
        <v>2011</v>
      </c>
      <c r="K158" t="s">
        <v>863</v>
      </c>
      <c r="L158" t="s">
        <v>844</v>
      </c>
      <c r="M158" t="s">
        <v>848</v>
      </c>
      <c r="N158" t="s">
        <v>849</v>
      </c>
      <c r="O158" t="s">
        <v>844</v>
      </c>
      <c r="P158">
        <v>0</v>
      </c>
      <c r="Q158" t="s">
        <v>844</v>
      </c>
      <c r="R158">
        <v>275</v>
      </c>
      <c r="S158">
        <v>79</v>
      </c>
      <c r="T158">
        <v>0.410909090909091</v>
      </c>
      <c r="U158" s="7" t="s">
        <v>850</v>
      </c>
      <c r="V158">
        <v>113</v>
      </c>
      <c r="W158" s="7" t="s">
        <v>851</v>
      </c>
      <c r="X158">
        <v>80</v>
      </c>
      <c r="Y158" s="7" t="s">
        <v>872</v>
      </c>
    </row>
    <row r="159" spans="1:25" ht="45" x14ac:dyDescent="0.25">
      <c r="A159" t="s">
        <v>230</v>
      </c>
      <c r="B159">
        <v>2012</v>
      </c>
      <c r="C159" t="s">
        <v>815</v>
      </c>
      <c r="D159">
        <v>2</v>
      </c>
      <c r="E159">
        <v>2</v>
      </c>
      <c r="F159">
        <v>2</v>
      </c>
      <c r="G159">
        <v>720</v>
      </c>
      <c r="H159" t="s">
        <v>841</v>
      </c>
      <c r="I159" t="s">
        <v>869</v>
      </c>
      <c r="J159">
        <v>2011</v>
      </c>
      <c r="K159" t="s">
        <v>863</v>
      </c>
      <c r="L159" t="s">
        <v>844</v>
      </c>
      <c r="M159" t="s">
        <v>853</v>
      </c>
      <c r="N159" t="s">
        <v>849</v>
      </c>
      <c r="O159" t="s">
        <v>844</v>
      </c>
      <c r="P159">
        <v>0</v>
      </c>
      <c r="Q159" t="s">
        <v>844</v>
      </c>
      <c r="R159">
        <v>275</v>
      </c>
      <c r="S159">
        <v>34</v>
      </c>
      <c r="T159">
        <v>0.410909090909091</v>
      </c>
      <c r="U159" s="7" t="s">
        <v>854</v>
      </c>
      <c r="V159">
        <v>113</v>
      </c>
      <c r="W159" s="7" t="s">
        <v>851</v>
      </c>
      <c r="X159">
        <v>80</v>
      </c>
      <c r="Y159" s="7" t="s">
        <v>872</v>
      </c>
    </row>
    <row r="160" spans="1:25" ht="30" x14ac:dyDescent="0.25">
      <c r="A160" t="s">
        <v>232</v>
      </c>
      <c r="B160">
        <v>2012</v>
      </c>
      <c r="C160" t="s">
        <v>807</v>
      </c>
      <c r="D160">
        <v>3</v>
      </c>
      <c r="E160">
        <v>3</v>
      </c>
      <c r="F160">
        <v>3</v>
      </c>
      <c r="G160">
        <v>750</v>
      </c>
      <c r="H160" t="s">
        <v>841</v>
      </c>
      <c r="I160" t="s">
        <v>842</v>
      </c>
      <c r="J160">
        <v>2010</v>
      </c>
      <c r="K160" t="s">
        <v>855</v>
      </c>
      <c r="L160" t="s">
        <v>860</v>
      </c>
      <c r="M160" t="s">
        <v>807</v>
      </c>
      <c r="N160" t="s">
        <v>807</v>
      </c>
      <c r="O160">
        <v>603.18308443525996</v>
      </c>
      <c r="P160">
        <v>691.47670032600797</v>
      </c>
      <c r="Q160">
        <v>0.23</v>
      </c>
      <c r="R160">
        <v>275</v>
      </c>
      <c r="S160">
        <v>79</v>
      </c>
      <c r="T160">
        <v>0.28727272727272701</v>
      </c>
      <c r="U160" s="7" t="s">
        <v>858</v>
      </c>
      <c r="V160">
        <v>79</v>
      </c>
      <c r="W160" s="7" t="s">
        <v>858</v>
      </c>
      <c r="X160">
        <v>80</v>
      </c>
      <c r="Y160" s="7" t="s">
        <v>872</v>
      </c>
    </row>
    <row r="161" spans="1:25" ht="45" x14ac:dyDescent="0.25">
      <c r="A161" t="s">
        <v>234</v>
      </c>
      <c r="B161">
        <v>2012</v>
      </c>
      <c r="C161" t="s">
        <v>804</v>
      </c>
      <c r="D161">
        <v>3</v>
      </c>
      <c r="E161">
        <v>3</v>
      </c>
      <c r="F161">
        <v>3</v>
      </c>
      <c r="G161">
        <v>762</v>
      </c>
      <c r="H161" t="s">
        <v>841</v>
      </c>
      <c r="I161" t="s">
        <v>842</v>
      </c>
      <c r="J161">
        <v>2010</v>
      </c>
      <c r="K161" t="s">
        <v>855</v>
      </c>
      <c r="L161" t="s">
        <v>844</v>
      </c>
      <c r="M161" t="s">
        <v>848</v>
      </c>
      <c r="N161" t="s">
        <v>849</v>
      </c>
      <c r="O161" t="s">
        <v>844</v>
      </c>
      <c r="P161">
        <v>0</v>
      </c>
      <c r="Q161" t="s">
        <v>844</v>
      </c>
      <c r="R161">
        <v>275</v>
      </c>
      <c r="S161">
        <v>79</v>
      </c>
      <c r="T161">
        <v>0.410909090909091</v>
      </c>
      <c r="U161" s="7" t="s">
        <v>850</v>
      </c>
      <c r="V161">
        <v>113</v>
      </c>
      <c r="W161" s="7" t="s">
        <v>851</v>
      </c>
      <c r="X161">
        <v>80</v>
      </c>
      <c r="Y161" s="7" t="s">
        <v>872</v>
      </c>
    </row>
    <row r="162" spans="1:25" ht="30" x14ac:dyDescent="0.25">
      <c r="A162" t="s">
        <v>236</v>
      </c>
      <c r="B162">
        <v>2012</v>
      </c>
      <c r="C162" t="s">
        <v>807</v>
      </c>
      <c r="D162">
        <v>2</v>
      </c>
      <c r="E162">
        <v>2</v>
      </c>
      <c r="F162">
        <v>2</v>
      </c>
      <c r="G162">
        <v>780</v>
      </c>
      <c r="H162" t="s">
        <v>859</v>
      </c>
      <c r="I162" t="s">
        <v>842</v>
      </c>
      <c r="J162">
        <v>2011</v>
      </c>
      <c r="K162" t="s">
        <v>863</v>
      </c>
      <c r="L162" t="s">
        <v>857</v>
      </c>
      <c r="M162" t="s">
        <v>807</v>
      </c>
      <c r="N162" t="s">
        <v>807</v>
      </c>
      <c r="O162">
        <v>354.94918385918999</v>
      </c>
      <c r="P162">
        <v>429.77354456582998</v>
      </c>
      <c r="Q162">
        <v>0.33</v>
      </c>
      <c r="R162">
        <v>275</v>
      </c>
      <c r="S162">
        <v>79</v>
      </c>
      <c r="T162">
        <v>0.28727272727272701</v>
      </c>
      <c r="U162" s="7" t="s">
        <v>858</v>
      </c>
      <c r="V162">
        <v>79</v>
      </c>
      <c r="W162" s="7" t="s">
        <v>858</v>
      </c>
      <c r="X162">
        <v>80</v>
      </c>
      <c r="Y162" s="7" t="s">
        <v>872</v>
      </c>
    </row>
    <row r="163" spans="1:25" ht="45" x14ac:dyDescent="0.25">
      <c r="A163" t="s">
        <v>238</v>
      </c>
      <c r="B163">
        <v>2012</v>
      </c>
      <c r="C163" t="s">
        <v>810</v>
      </c>
      <c r="D163">
        <v>2</v>
      </c>
      <c r="E163">
        <v>2</v>
      </c>
      <c r="F163">
        <v>2</v>
      </c>
      <c r="G163">
        <v>680</v>
      </c>
      <c r="H163" t="s">
        <v>841</v>
      </c>
      <c r="I163" t="s">
        <v>842</v>
      </c>
      <c r="J163">
        <v>2011</v>
      </c>
      <c r="K163" t="s">
        <v>863</v>
      </c>
      <c r="L163" t="s">
        <v>844</v>
      </c>
      <c r="M163" t="s">
        <v>810</v>
      </c>
      <c r="N163" t="s">
        <v>810</v>
      </c>
      <c r="O163" t="s">
        <v>844</v>
      </c>
      <c r="P163">
        <v>0</v>
      </c>
      <c r="Q163" t="s">
        <v>844</v>
      </c>
      <c r="R163">
        <v>275</v>
      </c>
      <c r="S163">
        <v>16</v>
      </c>
      <c r="T163">
        <v>5.8181818181818203E-2</v>
      </c>
      <c r="U163" s="7" t="s">
        <v>861</v>
      </c>
      <c r="V163">
        <v>16</v>
      </c>
      <c r="W163" s="7" t="s">
        <v>861</v>
      </c>
      <c r="X163">
        <v>80</v>
      </c>
      <c r="Y163" s="7" t="s">
        <v>872</v>
      </c>
    </row>
    <row r="164" spans="1:25" ht="30" x14ac:dyDescent="0.25">
      <c r="A164" t="s">
        <v>240</v>
      </c>
      <c r="B164">
        <v>2012</v>
      </c>
      <c r="C164" t="s">
        <v>806</v>
      </c>
      <c r="D164">
        <v>3</v>
      </c>
      <c r="E164">
        <v>3</v>
      </c>
      <c r="F164">
        <v>3</v>
      </c>
      <c r="G164">
        <v>750</v>
      </c>
      <c r="H164" t="s">
        <v>841</v>
      </c>
      <c r="I164" t="s">
        <v>842</v>
      </c>
      <c r="J164">
        <v>2010</v>
      </c>
      <c r="K164" t="s">
        <v>855</v>
      </c>
      <c r="L164" t="s">
        <v>844</v>
      </c>
      <c r="M164" t="s">
        <v>845</v>
      </c>
      <c r="N164" t="s">
        <v>845</v>
      </c>
      <c r="O164" t="s">
        <v>844</v>
      </c>
      <c r="P164">
        <v>0</v>
      </c>
      <c r="Q164" t="s">
        <v>844</v>
      </c>
      <c r="R164">
        <v>275</v>
      </c>
      <c r="S164">
        <v>67</v>
      </c>
      <c r="T164">
        <v>0.24363636363636401</v>
      </c>
      <c r="U164" s="7" t="s">
        <v>846</v>
      </c>
      <c r="V164">
        <v>67</v>
      </c>
      <c r="W164" s="7" t="s">
        <v>846</v>
      </c>
      <c r="X164">
        <v>80</v>
      </c>
      <c r="Y164" s="7" t="s">
        <v>872</v>
      </c>
    </row>
    <row r="165" spans="1:25" ht="30" x14ac:dyDescent="0.25">
      <c r="A165" t="s">
        <v>242</v>
      </c>
      <c r="B165">
        <v>2012</v>
      </c>
      <c r="C165" t="s">
        <v>806</v>
      </c>
      <c r="D165">
        <v>4</v>
      </c>
      <c r="E165">
        <v>4</v>
      </c>
      <c r="F165">
        <v>4</v>
      </c>
      <c r="G165">
        <v>735</v>
      </c>
      <c r="H165" t="s">
        <v>841</v>
      </c>
      <c r="I165" t="s">
        <v>842</v>
      </c>
      <c r="J165">
        <v>2009</v>
      </c>
      <c r="K165" t="s">
        <v>864</v>
      </c>
      <c r="L165" t="s">
        <v>844</v>
      </c>
      <c r="M165" t="s">
        <v>845</v>
      </c>
      <c r="N165" t="s">
        <v>845</v>
      </c>
      <c r="O165" t="s">
        <v>844</v>
      </c>
      <c r="P165">
        <v>0</v>
      </c>
      <c r="Q165" t="s">
        <v>844</v>
      </c>
      <c r="R165">
        <v>275</v>
      </c>
      <c r="S165">
        <v>67</v>
      </c>
      <c r="T165">
        <v>0.24363636363636401</v>
      </c>
      <c r="U165" s="7" t="s">
        <v>846</v>
      </c>
      <c r="V165">
        <v>67</v>
      </c>
      <c r="W165" s="7" t="s">
        <v>846</v>
      </c>
      <c r="X165">
        <v>80</v>
      </c>
      <c r="Y165" s="7" t="s">
        <v>872</v>
      </c>
    </row>
    <row r="166" spans="1:25" ht="30" x14ac:dyDescent="0.25">
      <c r="A166" t="s">
        <v>244</v>
      </c>
      <c r="B166">
        <v>2012</v>
      </c>
      <c r="C166" t="s">
        <v>807</v>
      </c>
      <c r="D166">
        <v>3</v>
      </c>
      <c r="E166">
        <v>3</v>
      </c>
      <c r="F166">
        <v>3</v>
      </c>
      <c r="G166">
        <v>720</v>
      </c>
      <c r="H166" t="s">
        <v>841</v>
      </c>
      <c r="I166" t="s">
        <v>842</v>
      </c>
      <c r="J166">
        <v>2010</v>
      </c>
      <c r="K166" t="s">
        <v>855</v>
      </c>
      <c r="L166" t="s">
        <v>860</v>
      </c>
      <c r="M166" t="s">
        <v>807</v>
      </c>
      <c r="N166" t="s">
        <v>807</v>
      </c>
      <c r="O166">
        <v>439.75494334067503</v>
      </c>
      <c r="P166">
        <v>519.37147794959799</v>
      </c>
      <c r="Q166">
        <v>0.31</v>
      </c>
      <c r="R166">
        <v>275</v>
      </c>
      <c r="S166">
        <v>79</v>
      </c>
      <c r="T166">
        <v>0.28727272727272701</v>
      </c>
      <c r="U166" s="7" t="s">
        <v>858</v>
      </c>
      <c r="V166">
        <v>79</v>
      </c>
      <c r="W166" s="7" t="s">
        <v>858</v>
      </c>
      <c r="X166">
        <v>80</v>
      </c>
      <c r="Y166" s="7" t="s">
        <v>872</v>
      </c>
    </row>
    <row r="167" spans="1:25" ht="45" x14ac:dyDescent="0.25">
      <c r="A167" t="s">
        <v>246</v>
      </c>
      <c r="B167">
        <v>2012</v>
      </c>
      <c r="C167" t="s">
        <v>811</v>
      </c>
      <c r="D167">
        <v>3</v>
      </c>
      <c r="E167">
        <v>3</v>
      </c>
      <c r="F167">
        <v>3</v>
      </c>
      <c r="G167">
        <v>720</v>
      </c>
      <c r="H167" t="s">
        <v>841</v>
      </c>
      <c r="I167" t="s">
        <v>852</v>
      </c>
      <c r="J167">
        <v>2010</v>
      </c>
      <c r="K167" t="s">
        <v>855</v>
      </c>
      <c r="L167" t="s">
        <v>844</v>
      </c>
      <c r="M167" t="s">
        <v>848</v>
      </c>
      <c r="N167" t="s">
        <v>849</v>
      </c>
      <c r="O167" t="s">
        <v>844</v>
      </c>
      <c r="P167">
        <v>0</v>
      </c>
      <c r="Q167" t="s">
        <v>844</v>
      </c>
      <c r="R167">
        <v>275</v>
      </c>
      <c r="S167">
        <v>79</v>
      </c>
      <c r="T167">
        <v>0.410909090909091</v>
      </c>
      <c r="U167" s="7" t="s">
        <v>850</v>
      </c>
      <c r="V167">
        <v>113</v>
      </c>
      <c r="W167" s="7" t="s">
        <v>851</v>
      </c>
      <c r="X167">
        <v>80</v>
      </c>
      <c r="Y167" s="7" t="s">
        <v>872</v>
      </c>
    </row>
    <row r="168" spans="1:25" ht="30" x14ac:dyDescent="0.25">
      <c r="A168" t="s">
        <v>248</v>
      </c>
      <c r="B168">
        <v>2012</v>
      </c>
      <c r="C168" t="s">
        <v>807</v>
      </c>
      <c r="D168">
        <v>3</v>
      </c>
      <c r="E168">
        <v>3</v>
      </c>
      <c r="F168">
        <v>3</v>
      </c>
      <c r="G168">
        <v>675</v>
      </c>
      <c r="H168" t="s">
        <v>841</v>
      </c>
      <c r="I168" t="s">
        <v>842</v>
      </c>
      <c r="J168">
        <v>2010</v>
      </c>
      <c r="K168" t="s">
        <v>855</v>
      </c>
      <c r="L168" t="s">
        <v>860</v>
      </c>
      <c r="M168" t="s">
        <v>807</v>
      </c>
      <c r="N168" t="s">
        <v>807</v>
      </c>
      <c r="O168">
        <v>498.550460009218</v>
      </c>
      <c r="P168">
        <v>587.42917904590001</v>
      </c>
      <c r="Q168">
        <v>0.31</v>
      </c>
      <c r="R168">
        <v>275</v>
      </c>
      <c r="S168">
        <v>79</v>
      </c>
      <c r="T168">
        <v>0.28727272727272701</v>
      </c>
      <c r="U168" s="7" t="s">
        <v>858</v>
      </c>
      <c r="V168">
        <v>79</v>
      </c>
      <c r="W168" s="7" t="s">
        <v>858</v>
      </c>
      <c r="X168">
        <v>80</v>
      </c>
      <c r="Y168" s="7" t="s">
        <v>872</v>
      </c>
    </row>
    <row r="169" spans="1:25" ht="45" x14ac:dyDescent="0.25">
      <c r="A169" t="s">
        <v>250</v>
      </c>
      <c r="B169">
        <v>2012</v>
      </c>
      <c r="C169" t="s">
        <v>805</v>
      </c>
      <c r="D169">
        <v>3</v>
      </c>
      <c r="E169">
        <v>3</v>
      </c>
      <c r="F169">
        <v>3</v>
      </c>
      <c r="G169">
        <v>815</v>
      </c>
      <c r="H169" t="s">
        <v>859</v>
      </c>
      <c r="I169" t="s">
        <v>842</v>
      </c>
      <c r="J169">
        <v>2010</v>
      </c>
      <c r="K169" t="s">
        <v>855</v>
      </c>
      <c r="L169" t="s">
        <v>844</v>
      </c>
      <c r="M169" t="s">
        <v>853</v>
      </c>
      <c r="N169" t="s">
        <v>849</v>
      </c>
      <c r="O169" t="s">
        <v>844</v>
      </c>
      <c r="P169">
        <v>0</v>
      </c>
      <c r="Q169" t="s">
        <v>844</v>
      </c>
      <c r="R169">
        <v>275</v>
      </c>
      <c r="S169">
        <v>34</v>
      </c>
      <c r="T169">
        <v>0.410909090909091</v>
      </c>
      <c r="U169" s="7" t="s">
        <v>854</v>
      </c>
      <c r="V169">
        <v>113</v>
      </c>
      <c r="W169" s="7" t="s">
        <v>851</v>
      </c>
      <c r="X169">
        <v>80</v>
      </c>
      <c r="Y169" s="7" t="s">
        <v>872</v>
      </c>
    </row>
    <row r="170" spans="1:25" ht="45" x14ac:dyDescent="0.25">
      <c r="A170" t="s">
        <v>252</v>
      </c>
      <c r="B170">
        <v>2012</v>
      </c>
      <c r="C170" t="s">
        <v>811</v>
      </c>
      <c r="D170">
        <v>3</v>
      </c>
      <c r="E170">
        <v>3</v>
      </c>
      <c r="F170">
        <v>3</v>
      </c>
      <c r="G170">
        <v>755</v>
      </c>
      <c r="H170" t="s">
        <v>859</v>
      </c>
      <c r="I170" t="s">
        <v>869</v>
      </c>
      <c r="J170">
        <v>2010</v>
      </c>
      <c r="K170" t="s">
        <v>855</v>
      </c>
      <c r="L170" t="s">
        <v>844</v>
      </c>
      <c r="M170" t="s">
        <v>848</v>
      </c>
      <c r="N170" t="s">
        <v>849</v>
      </c>
      <c r="O170" t="s">
        <v>844</v>
      </c>
      <c r="P170">
        <v>0</v>
      </c>
      <c r="Q170" t="s">
        <v>844</v>
      </c>
      <c r="R170">
        <v>275</v>
      </c>
      <c r="S170">
        <v>79</v>
      </c>
      <c r="T170">
        <v>0.410909090909091</v>
      </c>
      <c r="U170" s="7" t="s">
        <v>850</v>
      </c>
      <c r="V170">
        <v>113</v>
      </c>
      <c r="W170" s="7" t="s">
        <v>851</v>
      </c>
      <c r="X170">
        <v>80</v>
      </c>
      <c r="Y170" s="7" t="s">
        <v>872</v>
      </c>
    </row>
    <row r="171" spans="1:25" ht="30" x14ac:dyDescent="0.25">
      <c r="A171" t="s">
        <v>254</v>
      </c>
      <c r="B171">
        <v>2012</v>
      </c>
      <c r="C171" t="s">
        <v>807</v>
      </c>
      <c r="D171">
        <v>2</v>
      </c>
      <c r="E171">
        <v>2</v>
      </c>
      <c r="F171">
        <v>2</v>
      </c>
      <c r="G171">
        <v>740</v>
      </c>
      <c r="H171" t="s">
        <v>852</v>
      </c>
      <c r="I171" t="s">
        <v>852</v>
      </c>
      <c r="J171">
        <v>2011</v>
      </c>
      <c r="K171" t="s">
        <v>863</v>
      </c>
      <c r="L171" t="s">
        <v>860</v>
      </c>
      <c r="M171" t="s">
        <v>807</v>
      </c>
      <c r="N171" t="s">
        <v>807</v>
      </c>
      <c r="O171">
        <v>430.82752647157901</v>
      </c>
      <c r="P171">
        <v>512.00567888455998</v>
      </c>
      <c r="Q171">
        <v>0.28000000000000003</v>
      </c>
      <c r="R171">
        <v>275</v>
      </c>
      <c r="S171">
        <v>79</v>
      </c>
      <c r="T171">
        <v>0.28727272727272701</v>
      </c>
      <c r="U171" s="7" t="s">
        <v>858</v>
      </c>
      <c r="V171">
        <v>79</v>
      </c>
      <c r="W171" s="7" t="s">
        <v>858</v>
      </c>
      <c r="X171">
        <v>80</v>
      </c>
      <c r="Y171" s="7" t="s">
        <v>872</v>
      </c>
    </row>
    <row r="172" spans="1:25" ht="45" x14ac:dyDescent="0.25">
      <c r="A172" t="s">
        <v>256</v>
      </c>
      <c r="B172">
        <v>2012</v>
      </c>
      <c r="C172" t="s">
        <v>810</v>
      </c>
      <c r="D172">
        <v>3</v>
      </c>
      <c r="E172">
        <v>3</v>
      </c>
      <c r="F172">
        <v>3</v>
      </c>
      <c r="G172">
        <v>795</v>
      </c>
      <c r="H172" t="s">
        <v>841</v>
      </c>
      <c r="I172" t="s">
        <v>842</v>
      </c>
      <c r="J172">
        <v>2010</v>
      </c>
      <c r="K172" t="s">
        <v>855</v>
      </c>
      <c r="L172" t="s">
        <v>844</v>
      </c>
      <c r="M172" t="s">
        <v>810</v>
      </c>
      <c r="N172" t="s">
        <v>810</v>
      </c>
      <c r="O172" t="s">
        <v>844</v>
      </c>
      <c r="P172">
        <v>0</v>
      </c>
      <c r="Q172" t="s">
        <v>844</v>
      </c>
      <c r="R172">
        <v>275</v>
      </c>
      <c r="S172">
        <v>16</v>
      </c>
      <c r="T172">
        <v>5.8181818181818203E-2</v>
      </c>
      <c r="U172" s="7" t="s">
        <v>861</v>
      </c>
      <c r="V172">
        <v>16</v>
      </c>
      <c r="W172" s="7" t="s">
        <v>861</v>
      </c>
      <c r="X172">
        <v>80</v>
      </c>
      <c r="Y172" s="7" t="s">
        <v>872</v>
      </c>
    </row>
    <row r="173" spans="1:25" ht="45" x14ac:dyDescent="0.25">
      <c r="A173" t="s">
        <v>258</v>
      </c>
      <c r="B173">
        <v>2012</v>
      </c>
      <c r="C173" t="s">
        <v>804</v>
      </c>
      <c r="D173">
        <v>3</v>
      </c>
      <c r="E173">
        <v>3</v>
      </c>
      <c r="F173">
        <v>3</v>
      </c>
      <c r="G173">
        <v>643</v>
      </c>
      <c r="H173" t="s">
        <v>841</v>
      </c>
      <c r="I173" t="s">
        <v>842</v>
      </c>
      <c r="J173">
        <v>2010</v>
      </c>
      <c r="K173" t="s">
        <v>855</v>
      </c>
      <c r="L173" t="s">
        <v>844</v>
      </c>
      <c r="M173" t="s">
        <v>848</v>
      </c>
      <c r="N173" t="s">
        <v>849</v>
      </c>
      <c r="O173" t="s">
        <v>844</v>
      </c>
      <c r="P173">
        <v>0</v>
      </c>
      <c r="Q173" t="s">
        <v>844</v>
      </c>
      <c r="R173">
        <v>275</v>
      </c>
      <c r="S173">
        <v>79</v>
      </c>
      <c r="T173">
        <v>0.410909090909091</v>
      </c>
      <c r="U173" s="7" t="s">
        <v>850</v>
      </c>
      <c r="V173">
        <v>113</v>
      </c>
      <c r="W173" s="7" t="s">
        <v>851</v>
      </c>
      <c r="X173">
        <v>80</v>
      </c>
      <c r="Y173" s="7" t="s">
        <v>872</v>
      </c>
    </row>
    <row r="174" spans="1:25" ht="30" x14ac:dyDescent="0.25">
      <c r="A174" t="s">
        <v>260</v>
      </c>
      <c r="B174">
        <v>2012</v>
      </c>
      <c r="C174" t="s">
        <v>803</v>
      </c>
      <c r="D174">
        <v>3</v>
      </c>
      <c r="E174">
        <v>3</v>
      </c>
      <c r="F174">
        <v>3</v>
      </c>
      <c r="G174">
        <v>730</v>
      </c>
      <c r="H174" t="s">
        <v>841</v>
      </c>
      <c r="I174" t="s">
        <v>842</v>
      </c>
      <c r="J174">
        <v>2010</v>
      </c>
      <c r="K174" t="s">
        <v>855</v>
      </c>
      <c r="L174" t="s">
        <v>844</v>
      </c>
      <c r="M174" t="s">
        <v>845</v>
      </c>
      <c r="N174" t="s">
        <v>845</v>
      </c>
      <c r="O174" t="s">
        <v>844</v>
      </c>
      <c r="P174">
        <v>0</v>
      </c>
      <c r="Q174" t="s">
        <v>844</v>
      </c>
      <c r="R174">
        <v>275</v>
      </c>
      <c r="S174">
        <v>67</v>
      </c>
      <c r="T174">
        <v>0.24363636363636401</v>
      </c>
      <c r="U174" s="7" t="s">
        <v>846</v>
      </c>
      <c r="V174">
        <v>67</v>
      </c>
      <c r="W174" s="7" t="s">
        <v>846</v>
      </c>
      <c r="X174">
        <v>80</v>
      </c>
      <c r="Y174" s="7" t="s">
        <v>872</v>
      </c>
    </row>
    <row r="175" spans="1:25" ht="45" x14ac:dyDescent="0.25">
      <c r="A175" t="s">
        <v>262</v>
      </c>
      <c r="B175">
        <v>2012</v>
      </c>
      <c r="C175" t="s">
        <v>804</v>
      </c>
      <c r="D175">
        <v>3</v>
      </c>
      <c r="E175">
        <v>3</v>
      </c>
      <c r="F175">
        <v>3</v>
      </c>
      <c r="G175">
        <v>890</v>
      </c>
      <c r="H175" t="s">
        <v>859</v>
      </c>
      <c r="I175" t="s">
        <v>842</v>
      </c>
      <c r="J175">
        <v>2010</v>
      </c>
      <c r="K175" t="s">
        <v>855</v>
      </c>
      <c r="L175" t="s">
        <v>844</v>
      </c>
      <c r="M175" t="s">
        <v>848</v>
      </c>
      <c r="N175" t="s">
        <v>849</v>
      </c>
      <c r="O175" t="s">
        <v>844</v>
      </c>
      <c r="P175">
        <v>0</v>
      </c>
      <c r="Q175" t="s">
        <v>844</v>
      </c>
      <c r="R175">
        <v>275</v>
      </c>
      <c r="S175">
        <v>79</v>
      </c>
      <c r="T175">
        <v>0.410909090909091</v>
      </c>
      <c r="U175" s="7" t="s">
        <v>850</v>
      </c>
      <c r="V175">
        <v>113</v>
      </c>
      <c r="W175" s="7" t="s">
        <v>851</v>
      </c>
      <c r="X175">
        <v>80</v>
      </c>
      <c r="Y175" s="7" t="s">
        <v>872</v>
      </c>
    </row>
    <row r="176" spans="1:25" ht="45" x14ac:dyDescent="0.25">
      <c r="A176" t="s">
        <v>264</v>
      </c>
      <c r="B176">
        <v>2012</v>
      </c>
      <c r="C176" t="s">
        <v>812</v>
      </c>
      <c r="D176">
        <v>3</v>
      </c>
      <c r="E176">
        <v>3</v>
      </c>
      <c r="F176">
        <v>3</v>
      </c>
      <c r="G176">
        <v>795</v>
      </c>
      <c r="H176" t="s">
        <v>859</v>
      </c>
      <c r="I176" t="s">
        <v>842</v>
      </c>
      <c r="J176">
        <v>2010</v>
      </c>
      <c r="K176" t="s">
        <v>855</v>
      </c>
      <c r="L176" t="s">
        <v>844</v>
      </c>
      <c r="M176" t="s">
        <v>848</v>
      </c>
      <c r="N176" t="s">
        <v>849</v>
      </c>
      <c r="O176" t="s">
        <v>844</v>
      </c>
      <c r="P176">
        <v>0</v>
      </c>
      <c r="Q176" t="s">
        <v>844</v>
      </c>
      <c r="R176">
        <v>275</v>
      </c>
      <c r="S176">
        <v>79</v>
      </c>
      <c r="T176">
        <v>0.410909090909091</v>
      </c>
      <c r="U176" s="7" t="s">
        <v>850</v>
      </c>
      <c r="V176">
        <v>113</v>
      </c>
      <c r="W176" s="7" t="s">
        <v>851</v>
      </c>
      <c r="X176">
        <v>80</v>
      </c>
      <c r="Y176" s="7" t="s">
        <v>872</v>
      </c>
    </row>
    <row r="177" spans="1:25" ht="45" x14ac:dyDescent="0.25">
      <c r="A177" t="s">
        <v>266</v>
      </c>
      <c r="B177">
        <v>2012</v>
      </c>
      <c r="C177" t="s">
        <v>805</v>
      </c>
      <c r="D177">
        <v>3</v>
      </c>
      <c r="E177">
        <v>3</v>
      </c>
      <c r="F177">
        <v>3</v>
      </c>
      <c r="G177">
        <v>710</v>
      </c>
      <c r="H177" t="s">
        <v>841</v>
      </c>
      <c r="I177" t="s">
        <v>842</v>
      </c>
      <c r="J177">
        <v>2010</v>
      </c>
      <c r="K177" t="s">
        <v>855</v>
      </c>
      <c r="L177" t="s">
        <v>844</v>
      </c>
      <c r="M177" t="s">
        <v>853</v>
      </c>
      <c r="N177" t="s">
        <v>849</v>
      </c>
      <c r="O177" t="s">
        <v>844</v>
      </c>
      <c r="P177">
        <v>0</v>
      </c>
      <c r="Q177" t="s">
        <v>844</v>
      </c>
      <c r="R177">
        <v>275</v>
      </c>
      <c r="S177">
        <v>34</v>
      </c>
      <c r="T177">
        <v>0.410909090909091</v>
      </c>
      <c r="U177" s="7" t="s">
        <v>854</v>
      </c>
      <c r="V177">
        <v>113</v>
      </c>
      <c r="W177" s="7" t="s">
        <v>851</v>
      </c>
      <c r="X177">
        <v>80</v>
      </c>
      <c r="Y177" s="7" t="s">
        <v>872</v>
      </c>
    </row>
    <row r="178" spans="1:25" ht="45" x14ac:dyDescent="0.25">
      <c r="A178" t="s">
        <v>268</v>
      </c>
      <c r="B178">
        <v>2012</v>
      </c>
      <c r="C178" t="s">
        <v>811</v>
      </c>
      <c r="D178">
        <v>4</v>
      </c>
      <c r="E178">
        <v>4</v>
      </c>
      <c r="F178">
        <v>4</v>
      </c>
      <c r="G178" t="s">
        <v>844</v>
      </c>
      <c r="H178" t="s">
        <v>841</v>
      </c>
      <c r="I178" t="s">
        <v>869</v>
      </c>
      <c r="J178">
        <v>2009</v>
      </c>
      <c r="K178" t="s">
        <v>864</v>
      </c>
      <c r="L178" t="s">
        <v>844</v>
      </c>
      <c r="M178" t="s">
        <v>848</v>
      </c>
      <c r="N178" t="s">
        <v>849</v>
      </c>
      <c r="O178" t="s">
        <v>844</v>
      </c>
      <c r="P178">
        <v>0</v>
      </c>
      <c r="Q178" t="s">
        <v>844</v>
      </c>
      <c r="R178">
        <v>275</v>
      </c>
      <c r="S178">
        <v>79</v>
      </c>
      <c r="T178">
        <v>0.410909090909091</v>
      </c>
      <c r="U178" s="7" t="s">
        <v>850</v>
      </c>
      <c r="V178">
        <v>113</v>
      </c>
      <c r="W178" s="7" t="s">
        <v>851</v>
      </c>
      <c r="X178">
        <v>80</v>
      </c>
      <c r="Y178" s="7" t="s">
        <v>872</v>
      </c>
    </row>
    <row r="179" spans="1:25" ht="30" x14ac:dyDescent="0.25">
      <c r="A179" t="s">
        <v>270</v>
      </c>
      <c r="B179">
        <v>2012</v>
      </c>
      <c r="C179" t="s">
        <v>803</v>
      </c>
      <c r="D179">
        <v>3</v>
      </c>
      <c r="E179">
        <v>3</v>
      </c>
      <c r="F179">
        <v>3</v>
      </c>
      <c r="G179">
        <v>810</v>
      </c>
      <c r="H179" t="s">
        <v>859</v>
      </c>
      <c r="I179" t="s">
        <v>842</v>
      </c>
      <c r="J179">
        <v>2010</v>
      </c>
      <c r="K179" t="s">
        <v>855</v>
      </c>
      <c r="L179" t="s">
        <v>844</v>
      </c>
      <c r="M179" t="s">
        <v>845</v>
      </c>
      <c r="N179" t="s">
        <v>845</v>
      </c>
      <c r="O179" t="s">
        <v>844</v>
      </c>
      <c r="P179">
        <v>0</v>
      </c>
      <c r="Q179" t="s">
        <v>844</v>
      </c>
      <c r="R179">
        <v>275</v>
      </c>
      <c r="S179">
        <v>67</v>
      </c>
      <c r="T179">
        <v>0.24363636363636401</v>
      </c>
      <c r="U179" s="7" t="s">
        <v>846</v>
      </c>
      <c r="V179">
        <v>67</v>
      </c>
      <c r="W179" s="7" t="s">
        <v>846</v>
      </c>
      <c r="X179">
        <v>80</v>
      </c>
      <c r="Y179" s="7" t="s">
        <v>872</v>
      </c>
    </row>
    <row r="180" spans="1:25" ht="30" x14ac:dyDescent="0.25">
      <c r="A180" t="s">
        <v>272</v>
      </c>
      <c r="B180">
        <v>2012</v>
      </c>
      <c r="C180" t="s">
        <v>803</v>
      </c>
      <c r="D180">
        <v>3</v>
      </c>
      <c r="E180">
        <v>3</v>
      </c>
      <c r="F180">
        <v>3</v>
      </c>
      <c r="G180">
        <v>700</v>
      </c>
      <c r="H180" t="s">
        <v>841</v>
      </c>
      <c r="I180" t="s">
        <v>842</v>
      </c>
      <c r="J180">
        <v>2010</v>
      </c>
      <c r="K180" t="s">
        <v>855</v>
      </c>
      <c r="L180" t="s">
        <v>844</v>
      </c>
      <c r="M180" t="s">
        <v>845</v>
      </c>
      <c r="N180" t="s">
        <v>845</v>
      </c>
      <c r="O180" t="s">
        <v>844</v>
      </c>
      <c r="P180">
        <v>0</v>
      </c>
      <c r="Q180" t="s">
        <v>844</v>
      </c>
      <c r="R180">
        <v>275</v>
      </c>
      <c r="S180">
        <v>67</v>
      </c>
      <c r="T180">
        <v>0.24363636363636401</v>
      </c>
      <c r="U180" s="7" t="s">
        <v>846</v>
      </c>
      <c r="V180">
        <v>67</v>
      </c>
      <c r="W180" s="7" t="s">
        <v>846</v>
      </c>
      <c r="X180">
        <v>80</v>
      </c>
      <c r="Y180" s="7" t="s">
        <v>872</v>
      </c>
    </row>
    <row r="181" spans="1:25" ht="30" x14ac:dyDescent="0.25">
      <c r="A181" t="s">
        <v>274</v>
      </c>
      <c r="B181">
        <v>2012</v>
      </c>
      <c r="C181" t="s">
        <v>803</v>
      </c>
      <c r="D181">
        <v>3</v>
      </c>
      <c r="E181">
        <v>3</v>
      </c>
      <c r="F181">
        <v>3</v>
      </c>
      <c r="G181">
        <v>780</v>
      </c>
      <c r="H181" t="s">
        <v>841</v>
      </c>
      <c r="I181" t="s">
        <v>842</v>
      </c>
      <c r="J181">
        <v>2010</v>
      </c>
      <c r="K181" t="s">
        <v>855</v>
      </c>
      <c r="L181" t="s">
        <v>844</v>
      </c>
      <c r="M181" t="s">
        <v>845</v>
      </c>
      <c r="N181" t="s">
        <v>845</v>
      </c>
      <c r="O181" t="s">
        <v>844</v>
      </c>
      <c r="P181">
        <v>0</v>
      </c>
      <c r="Q181" t="s">
        <v>844</v>
      </c>
      <c r="R181">
        <v>275</v>
      </c>
      <c r="S181">
        <v>67</v>
      </c>
      <c r="T181">
        <v>0.24363636363636401</v>
      </c>
      <c r="U181" s="7" t="s">
        <v>846</v>
      </c>
      <c r="V181">
        <v>67</v>
      </c>
      <c r="W181" s="7" t="s">
        <v>846</v>
      </c>
      <c r="X181">
        <v>80</v>
      </c>
      <c r="Y181" s="7" t="s">
        <v>872</v>
      </c>
    </row>
    <row r="182" spans="1:25" ht="30" x14ac:dyDescent="0.25">
      <c r="A182" t="s">
        <v>276</v>
      </c>
      <c r="B182">
        <v>2012</v>
      </c>
      <c r="C182" t="s">
        <v>807</v>
      </c>
      <c r="D182">
        <v>3</v>
      </c>
      <c r="E182">
        <v>3</v>
      </c>
      <c r="F182">
        <v>3</v>
      </c>
      <c r="G182">
        <v>760</v>
      </c>
      <c r="H182" t="s">
        <v>841</v>
      </c>
      <c r="I182" t="s">
        <v>842</v>
      </c>
      <c r="J182">
        <v>2010</v>
      </c>
      <c r="K182" t="s">
        <v>855</v>
      </c>
      <c r="L182" t="s">
        <v>857</v>
      </c>
      <c r="M182" t="s">
        <v>807</v>
      </c>
      <c r="N182" t="s">
        <v>807</v>
      </c>
      <c r="O182">
        <v>369.45989850371899</v>
      </c>
      <c r="P182">
        <v>438.60037921678901</v>
      </c>
      <c r="Q182">
        <v>0.32</v>
      </c>
      <c r="R182">
        <v>275</v>
      </c>
      <c r="S182">
        <v>79</v>
      </c>
      <c r="T182">
        <v>0.28727272727272701</v>
      </c>
      <c r="U182" s="7" t="s">
        <v>858</v>
      </c>
      <c r="V182">
        <v>79</v>
      </c>
      <c r="W182" s="7" t="s">
        <v>858</v>
      </c>
      <c r="X182">
        <v>80</v>
      </c>
      <c r="Y182" s="7" t="s">
        <v>872</v>
      </c>
    </row>
    <row r="183" spans="1:25" ht="45" x14ac:dyDescent="0.25">
      <c r="A183" t="s">
        <v>278</v>
      </c>
      <c r="B183">
        <v>2012</v>
      </c>
      <c r="C183" t="s">
        <v>810</v>
      </c>
      <c r="D183">
        <v>3</v>
      </c>
      <c r="E183">
        <v>3</v>
      </c>
      <c r="F183">
        <v>3</v>
      </c>
      <c r="G183">
        <v>790</v>
      </c>
      <c r="H183" t="s">
        <v>841</v>
      </c>
      <c r="I183" t="s">
        <v>842</v>
      </c>
      <c r="J183">
        <v>2010</v>
      </c>
      <c r="K183" t="s">
        <v>855</v>
      </c>
      <c r="L183" t="s">
        <v>844</v>
      </c>
      <c r="M183" t="s">
        <v>810</v>
      </c>
      <c r="N183" t="s">
        <v>810</v>
      </c>
      <c r="O183" t="s">
        <v>844</v>
      </c>
      <c r="P183">
        <v>0</v>
      </c>
      <c r="Q183" t="s">
        <v>844</v>
      </c>
      <c r="R183">
        <v>275</v>
      </c>
      <c r="S183">
        <v>16</v>
      </c>
      <c r="T183">
        <v>5.8181818181818203E-2</v>
      </c>
      <c r="U183" s="7" t="s">
        <v>861</v>
      </c>
      <c r="V183">
        <v>16</v>
      </c>
      <c r="W183" s="7" t="s">
        <v>861</v>
      </c>
      <c r="X183">
        <v>80</v>
      </c>
      <c r="Y183" s="7" t="s">
        <v>872</v>
      </c>
    </row>
    <row r="184" spans="1:25" ht="30" x14ac:dyDescent="0.25">
      <c r="A184" t="s">
        <v>280</v>
      </c>
      <c r="B184">
        <v>2012</v>
      </c>
      <c r="C184" t="s">
        <v>807</v>
      </c>
      <c r="D184">
        <v>3</v>
      </c>
      <c r="E184">
        <v>3</v>
      </c>
      <c r="F184">
        <v>3</v>
      </c>
      <c r="G184">
        <v>660</v>
      </c>
      <c r="H184" t="s">
        <v>841</v>
      </c>
      <c r="I184" t="s">
        <v>842</v>
      </c>
      <c r="J184">
        <v>2010</v>
      </c>
      <c r="K184" t="s">
        <v>855</v>
      </c>
      <c r="L184" t="s">
        <v>860</v>
      </c>
      <c r="M184" t="s">
        <v>807</v>
      </c>
      <c r="N184" t="s">
        <v>807</v>
      </c>
      <c r="O184">
        <v>531.71875974980105</v>
      </c>
      <c r="P184">
        <v>632.30214283209204</v>
      </c>
      <c r="Q184">
        <v>0.3</v>
      </c>
      <c r="R184">
        <v>275</v>
      </c>
      <c r="S184">
        <v>79</v>
      </c>
      <c r="T184">
        <v>0.28727272727272701</v>
      </c>
      <c r="U184" s="7" t="s">
        <v>858</v>
      </c>
      <c r="V184">
        <v>79</v>
      </c>
      <c r="W184" s="7" t="s">
        <v>858</v>
      </c>
      <c r="X184">
        <v>80</v>
      </c>
      <c r="Y184" s="7" t="s">
        <v>872</v>
      </c>
    </row>
    <row r="185" spans="1:25" ht="45" x14ac:dyDescent="0.25">
      <c r="A185" t="s">
        <v>282</v>
      </c>
      <c r="B185">
        <v>2012</v>
      </c>
      <c r="C185" t="s">
        <v>811</v>
      </c>
      <c r="D185">
        <v>3</v>
      </c>
      <c r="E185">
        <v>3</v>
      </c>
      <c r="F185">
        <v>3</v>
      </c>
      <c r="G185">
        <v>860</v>
      </c>
      <c r="H185" t="s">
        <v>859</v>
      </c>
      <c r="I185" t="s">
        <v>869</v>
      </c>
      <c r="J185">
        <v>2010</v>
      </c>
      <c r="K185" t="s">
        <v>855</v>
      </c>
      <c r="L185" t="s">
        <v>844</v>
      </c>
      <c r="M185" t="s">
        <v>848</v>
      </c>
      <c r="N185" t="s">
        <v>849</v>
      </c>
      <c r="O185" t="s">
        <v>844</v>
      </c>
      <c r="P185">
        <v>0</v>
      </c>
      <c r="Q185" t="s">
        <v>844</v>
      </c>
      <c r="R185">
        <v>275</v>
      </c>
      <c r="S185">
        <v>79</v>
      </c>
      <c r="T185">
        <v>0.410909090909091</v>
      </c>
      <c r="U185" s="7" t="s">
        <v>850</v>
      </c>
      <c r="V185">
        <v>113</v>
      </c>
      <c r="W185" s="7" t="s">
        <v>851</v>
      </c>
      <c r="X185">
        <v>80</v>
      </c>
      <c r="Y185" s="7" t="s">
        <v>872</v>
      </c>
    </row>
    <row r="186" spans="1:25" ht="30" x14ac:dyDescent="0.25">
      <c r="A186" t="s">
        <v>284</v>
      </c>
      <c r="B186">
        <v>2012</v>
      </c>
      <c r="C186" t="s">
        <v>803</v>
      </c>
      <c r="D186">
        <v>3</v>
      </c>
      <c r="E186">
        <v>3</v>
      </c>
      <c r="F186">
        <v>3</v>
      </c>
      <c r="G186">
        <v>770</v>
      </c>
      <c r="H186" t="s">
        <v>841</v>
      </c>
      <c r="I186" t="s">
        <v>842</v>
      </c>
      <c r="J186">
        <v>2010</v>
      </c>
      <c r="K186" t="s">
        <v>855</v>
      </c>
      <c r="L186" t="s">
        <v>844</v>
      </c>
      <c r="M186" t="s">
        <v>845</v>
      </c>
      <c r="N186" t="s">
        <v>845</v>
      </c>
      <c r="O186" t="s">
        <v>844</v>
      </c>
      <c r="P186">
        <v>0</v>
      </c>
      <c r="Q186" t="s">
        <v>844</v>
      </c>
      <c r="R186">
        <v>275</v>
      </c>
      <c r="S186">
        <v>67</v>
      </c>
      <c r="T186">
        <v>0.24363636363636401</v>
      </c>
      <c r="U186" s="7" t="s">
        <v>846</v>
      </c>
      <c r="V186">
        <v>67</v>
      </c>
      <c r="W186" s="7" t="s">
        <v>846</v>
      </c>
      <c r="X186">
        <v>80</v>
      </c>
      <c r="Y186" s="7" t="s">
        <v>872</v>
      </c>
    </row>
    <row r="187" spans="1:25" ht="45" x14ac:dyDescent="0.25">
      <c r="A187" t="s">
        <v>286</v>
      </c>
      <c r="B187">
        <v>2012</v>
      </c>
      <c r="C187" t="s">
        <v>812</v>
      </c>
      <c r="D187">
        <v>4</v>
      </c>
      <c r="E187">
        <v>4</v>
      </c>
      <c r="F187">
        <v>4</v>
      </c>
      <c r="G187">
        <v>920</v>
      </c>
      <c r="H187" t="s">
        <v>841</v>
      </c>
      <c r="I187" t="s">
        <v>842</v>
      </c>
      <c r="J187">
        <v>2009</v>
      </c>
      <c r="K187" t="s">
        <v>864</v>
      </c>
      <c r="L187" t="s">
        <v>844</v>
      </c>
      <c r="M187" t="s">
        <v>848</v>
      </c>
      <c r="N187" t="s">
        <v>849</v>
      </c>
      <c r="O187" t="s">
        <v>844</v>
      </c>
      <c r="P187">
        <v>0</v>
      </c>
      <c r="Q187" t="s">
        <v>844</v>
      </c>
      <c r="R187">
        <v>275</v>
      </c>
      <c r="S187">
        <v>79</v>
      </c>
      <c r="T187">
        <v>0.410909090909091</v>
      </c>
      <c r="U187" s="7" t="s">
        <v>850</v>
      </c>
      <c r="V187">
        <v>113</v>
      </c>
      <c r="W187" s="7" t="s">
        <v>851</v>
      </c>
      <c r="X187">
        <v>80</v>
      </c>
      <c r="Y187" s="7" t="s">
        <v>872</v>
      </c>
    </row>
    <row r="188" spans="1:25" ht="45" x14ac:dyDescent="0.25">
      <c r="A188" t="s">
        <v>288</v>
      </c>
      <c r="B188">
        <v>2012</v>
      </c>
      <c r="C188" t="s">
        <v>812</v>
      </c>
      <c r="D188">
        <v>3</v>
      </c>
      <c r="E188">
        <v>3</v>
      </c>
      <c r="F188">
        <v>3</v>
      </c>
      <c r="G188">
        <v>740</v>
      </c>
      <c r="H188" t="s">
        <v>852</v>
      </c>
      <c r="I188" t="s">
        <v>842</v>
      </c>
      <c r="J188">
        <v>2010</v>
      </c>
      <c r="K188" t="s">
        <v>855</v>
      </c>
      <c r="L188" t="s">
        <v>844</v>
      </c>
      <c r="M188" t="s">
        <v>848</v>
      </c>
      <c r="N188" t="s">
        <v>849</v>
      </c>
      <c r="O188" t="s">
        <v>844</v>
      </c>
      <c r="P188">
        <v>0</v>
      </c>
      <c r="Q188" t="s">
        <v>844</v>
      </c>
      <c r="R188">
        <v>275</v>
      </c>
      <c r="S188">
        <v>79</v>
      </c>
      <c r="T188">
        <v>0.410909090909091</v>
      </c>
      <c r="U188" s="7" t="s">
        <v>850</v>
      </c>
      <c r="V188">
        <v>113</v>
      </c>
      <c r="W188" s="7" t="s">
        <v>851</v>
      </c>
      <c r="X188">
        <v>80</v>
      </c>
      <c r="Y188" s="7" t="s">
        <v>872</v>
      </c>
    </row>
    <row r="189" spans="1:25" ht="45" x14ac:dyDescent="0.25">
      <c r="A189" t="s">
        <v>290</v>
      </c>
      <c r="B189">
        <v>2012</v>
      </c>
      <c r="C189" t="s">
        <v>805</v>
      </c>
      <c r="D189">
        <v>2</v>
      </c>
      <c r="E189">
        <v>2</v>
      </c>
      <c r="F189">
        <v>2</v>
      </c>
      <c r="G189">
        <v>825</v>
      </c>
      <c r="H189" t="s">
        <v>859</v>
      </c>
      <c r="I189" t="s">
        <v>842</v>
      </c>
      <c r="J189">
        <v>2011</v>
      </c>
      <c r="K189" t="s">
        <v>863</v>
      </c>
      <c r="L189" t="s">
        <v>844</v>
      </c>
      <c r="M189" t="s">
        <v>853</v>
      </c>
      <c r="N189" t="s">
        <v>849</v>
      </c>
      <c r="O189" t="s">
        <v>844</v>
      </c>
      <c r="P189">
        <v>0</v>
      </c>
      <c r="Q189" t="s">
        <v>844</v>
      </c>
      <c r="R189">
        <v>275</v>
      </c>
      <c r="S189">
        <v>34</v>
      </c>
      <c r="T189">
        <v>0.410909090909091</v>
      </c>
      <c r="U189" s="7" t="s">
        <v>854</v>
      </c>
      <c r="V189">
        <v>113</v>
      </c>
      <c r="W189" s="7" t="s">
        <v>851</v>
      </c>
      <c r="X189">
        <v>80</v>
      </c>
      <c r="Y189" s="7" t="s">
        <v>872</v>
      </c>
    </row>
    <row r="190" spans="1:25" ht="45" x14ac:dyDescent="0.25">
      <c r="A190" t="s">
        <v>292</v>
      </c>
      <c r="B190">
        <v>2012</v>
      </c>
      <c r="C190" t="s">
        <v>805</v>
      </c>
      <c r="D190">
        <v>3</v>
      </c>
      <c r="E190">
        <v>3</v>
      </c>
      <c r="F190">
        <v>3</v>
      </c>
      <c r="G190">
        <v>820</v>
      </c>
      <c r="H190" t="s">
        <v>859</v>
      </c>
      <c r="I190" t="s">
        <v>842</v>
      </c>
      <c r="J190">
        <v>2010</v>
      </c>
      <c r="K190" t="s">
        <v>855</v>
      </c>
      <c r="L190" t="s">
        <v>844</v>
      </c>
      <c r="M190" t="s">
        <v>853</v>
      </c>
      <c r="N190" t="s">
        <v>849</v>
      </c>
      <c r="O190" t="s">
        <v>844</v>
      </c>
      <c r="P190">
        <v>0</v>
      </c>
      <c r="Q190" t="s">
        <v>844</v>
      </c>
      <c r="R190">
        <v>275</v>
      </c>
      <c r="S190">
        <v>34</v>
      </c>
      <c r="T190">
        <v>0.410909090909091</v>
      </c>
      <c r="U190" s="7" t="s">
        <v>854</v>
      </c>
      <c r="V190">
        <v>113</v>
      </c>
      <c r="W190" s="7" t="s">
        <v>851</v>
      </c>
      <c r="X190">
        <v>80</v>
      </c>
      <c r="Y190" s="7" t="s">
        <v>872</v>
      </c>
    </row>
    <row r="191" spans="1:25" ht="30" x14ac:dyDescent="0.25">
      <c r="A191" t="s">
        <v>294</v>
      </c>
      <c r="B191">
        <v>2012</v>
      </c>
      <c r="C191" t="s">
        <v>803</v>
      </c>
      <c r="D191">
        <v>3</v>
      </c>
      <c r="E191">
        <v>3</v>
      </c>
      <c r="F191">
        <v>3</v>
      </c>
      <c r="G191">
        <v>675</v>
      </c>
      <c r="H191" t="s">
        <v>841</v>
      </c>
      <c r="I191" t="s">
        <v>842</v>
      </c>
      <c r="J191">
        <v>2010</v>
      </c>
      <c r="K191" t="s">
        <v>855</v>
      </c>
      <c r="L191" t="s">
        <v>844</v>
      </c>
      <c r="M191" t="s">
        <v>845</v>
      </c>
      <c r="N191" t="s">
        <v>845</v>
      </c>
      <c r="O191" t="s">
        <v>844</v>
      </c>
      <c r="P191">
        <v>0</v>
      </c>
      <c r="Q191" t="s">
        <v>844</v>
      </c>
      <c r="R191">
        <v>275</v>
      </c>
      <c r="S191">
        <v>67</v>
      </c>
      <c r="T191">
        <v>0.24363636363636401</v>
      </c>
      <c r="U191" s="7" t="s">
        <v>846</v>
      </c>
      <c r="V191">
        <v>67</v>
      </c>
      <c r="W191" s="7" t="s">
        <v>846</v>
      </c>
      <c r="X191">
        <v>80</v>
      </c>
      <c r="Y191" s="7" t="s">
        <v>872</v>
      </c>
    </row>
    <row r="192" spans="1:25" ht="30" x14ac:dyDescent="0.25">
      <c r="A192" t="s">
        <v>296</v>
      </c>
      <c r="B192">
        <v>2012</v>
      </c>
      <c r="C192" t="s">
        <v>803</v>
      </c>
      <c r="D192">
        <v>3</v>
      </c>
      <c r="E192">
        <v>3</v>
      </c>
      <c r="F192">
        <v>3</v>
      </c>
      <c r="G192">
        <v>770</v>
      </c>
      <c r="H192" t="s">
        <v>841</v>
      </c>
      <c r="I192" t="s">
        <v>842</v>
      </c>
      <c r="J192">
        <v>2010</v>
      </c>
      <c r="K192" t="s">
        <v>855</v>
      </c>
      <c r="L192" t="s">
        <v>844</v>
      </c>
      <c r="M192" t="s">
        <v>845</v>
      </c>
      <c r="N192" t="s">
        <v>845</v>
      </c>
      <c r="O192" t="s">
        <v>844</v>
      </c>
      <c r="P192">
        <v>0</v>
      </c>
      <c r="Q192" t="s">
        <v>844</v>
      </c>
      <c r="R192">
        <v>275</v>
      </c>
      <c r="S192">
        <v>67</v>
      </c>
      <c r="T192">
        <v>0.24363636363636401</v>
      </c>
      <c r="U192" s="7" t="s">
        <v>846</v>
      </c>
      <c r="V192">
        <v>67</v>
      </c>
      <c r="W192" s="7" t="s">
        <v>846</v>
      </c>
      <c r="X192">
        <v>80</v>
      </c>
      <c r="Y192" s="7" t="s">
        <v>872</v>
      </c>
    </row>
    <row r="193" spans="1:25" ht="45" x14ac:dyDescent="0.25">
      <c r="A193" t="s">
        <v>298</v>
      </c>
      <c r="B193">
        <v>2012</v>
      </c>
      <c r="C193" t="s">
        <v>811</v>
      </c>
      <c r="D193">
        <v>3</v>
      </c>
      <c r="E193">
        <v>3</v>
      </c>
      <c r="F193">
        <v>3</v>
      </c>
      <c r="G193" t="s">
        <v>844</v>
      </c>
      <c r="H193" t="s">
        <v>852</v>
      </c>
      <c r="I193" t="s">
        <v>852</v>
      </c>
      <c r="J193">
        <v>2010</v>
      </c>
      <c r="K193" t="s">
        <v>855</v>
      </c>
      <c r="L193" t="s">
        <v>844</v>
      </c>
      <c r="M193" t="s">
        <v>848</v>
      </c>
      <c r="N193" t="s">
        <v>849</v>
      </c>
      <c r="O193" t="s">
        <v>844</v>
      </c>
      <c r="P193">
        <v>0</v>
      </c>
      <c r="Q193" t="s">
        <v>844</v>
      </c>
      <c r="R193">
        <v>275</v>
      </c>
      <c r="S193">
        <v>79</v>
      </c>
      <c r="T193">
        <v>0.410909090909091</v>
      </c>
      <c r="U193" s="7" t="s">
        <v>850</v>
      </c>
      <c r="V193">
        <v>113</v>
      </c>
      <c r="W193" s="7" t="s">
        <v>851</v>
      </c>
      <c r="X193">
        <v>80</v>
      </c>
      <c r="Y193" s="7" t="s">
        <v>872</v>
      </c>
    </row>
    <row r="194" spans="1:25" ht="30" x14ac:dyDescent="0.25">
      <c r="A194" t="s">
        <v>300</v>
      </c>
      <c r="B194">
        <v>2012</v>
      </c>
      <c r="C194" t="s">
        <v>803</v>
      </c>
      <c r="D194">
        <v>4</v>
      </c>
      <c r="E194">
        <v>4</v>
      </c>
      <c r="F194">
        <v>4</v>
      </c>
      <c r="G194">
        <v>680</v>
      </c>
      <c r="H194" t="s">
        <v>859</v>
      </c>
      <c r="I194" t="s">
        <v>842</v>
      </c>
      <c r="J194">
        <v>2009</v>
      </c>
      <c r="K194" t="s">
        <v>864</v>
      </c>
      <c r="L194" t="s">
        <v>844</v>
      </c>
      <c r="M194" t="s">
        <v>845</v>
      </c>
      <c r="N194" t="s">
        <v>845</v>
      </c>
      <c r="O194" t="s">
        <v>844</v>
      </c>
      <c r="P194">
        <v>0</v>
      </c>
      <c r="Q194" t="s">
        <v>844</v>
      </c>
      <c r="R194">
        <v>275</v>
      </c>
      <c r="S194">
        <v>67</v>
      </c>
      <c r="T194">
        <v>0.24363636363636401</v>
      </c>
      <c r="U194" s="7" t="s">
        <v>846</v>
      </c>
      <c r="V194">
        <v>67</v>
      </c>
      <c r="W194" s="7" t="s">
        <v>846</v>
      </c>
      <c r="X194">
        <v>80</v>
      </c>
      <c r="Y194" s="7" t="s">
        <v>872</v>
      </c>
    </row>
    <row r="195" spans="1:25" ht="45" x14ac:dyDescent="0.25">
      <c r="A195" t="s">
        <v>302</v>
      </c>
      <c r="B195">
        <v>2012</v>
      </c>
      <c r="C195" t="s">
        <v>809</v>
      </c>
      <c r="D195">
        <v>3</v>
      </c>
      <c r="E195">
        <v>3</v>
      </c>
      <c r="F195">
        <v>3</v>
      </c>
      <c r="G195">
        <v>790</v>
      </c>
      <c r="H195" t="s">
        <v>841</v>
      </c>
      <c r="I195" t="s">
        <v>842</v>
      </c>
      <c r="J195">
        <v>2010</v>
      </c>
      <c r="K195" t="s">
        <v>855</v>
      </c>
      <c r="L195" t="s">
        <v>844</v>
      </c>
      <c r="M195" t="s">
        <v>853</v>
      </c>
      <c r="N195" t="s">
        <v>849</v>
      </c>
      <c r="O195" t="s">
        <v>844</v>
      </c>
      <c r="P195">
        <v>0</v>
      </c>
      <c r="Q195" t="s">
        <v>844</v>
      </c>
      <c r="R195">
        <v>275</v>
      </c>
      <c r="S195">
        <v>34</v>
      </c>
      <c r="T195">
        <v>0.410909090909091</v>
      </c>
      <c r="U195" s="7" t="s">
        <v>854</v>
      </c>
      <c r="V195">
        <v>113</v>
      </c>
      <c r="W195" s="7" t="s">
        <v>851</v>
      </c>
      <c r="X195">
        <v>80</v>
      </c>
      <c r="Y195" s="7" t="s">
        <v>872</v>
      </c>
    </row>
    <row r="196" spans="1:25" ht="45" x14ac:dyDescent="0.25">
      <c r="A196" t="s">
        <v>402</v>
      </c>
      <c r="B196">
        <v>2012</v>
      </c>
      <c r="C196" t="s">
        <v>804</v>
      </c>
      <c r="D196">
        <v>3</v>
      </c>
      <c r="E196">
        <v>3</v>
      </c>
      <c r="F196">
        <v>3</v>
      </c>
      <c r="G196">
        <v>720</v>
      </c>
      <c r="H196" t="s">
        <v>859</v>
      </c>
      <c r="I196" t="s">
        <v>842</v>
      </c>
      <c r="J196">
        <v>2010</v>
      </c>
      <c r="K196" t="s">
        <v>855</v>
      </c>
      <c r="L196" t="s">
        <v>844</v>
      </c>
      <c r="M196" t="s">
        <v>848</v>
      </c>
      <c r="N196" t="s">
        <v>849</v>
      </c>
      <c r="O196" t="s">
        <v>844</v>
      </c>
      <c r="P196">
        <v>0</v>
      </c>
      <c r="Q196" t="s">
        <v>844</v>
      </c>
      <c r="R196">
        <v>275</v>
      </c>
      <c r="S196">
        <v>79</v>
      </c>
      <c r="T196">
        <v>0.410909090909091</v>
      </c>
      <c r="U196" s="7" t="s">
        <v>850</v>
      </c>
      <c r="V196">
        <v>113</v>
      </c>
      <c r="W196" s="7" t="s">
        <v>851</v>
      </c>
      <c r="X196">
        <v>80</v>
      </c>
      <c r="Y196" s="7" t="s">
        <v>872</v>
      </c>
    </row>
    <row r="197" spans="1:25" ht="30" x14ac:dyDescent="0.25">
      <c r="A197" t="s">
        <v>404</v>
      </c>
      <c r="B197">
        <v>2012</v>
      </c>
      <c r="C197" t="s">
        <v>806</v>
      </c>
      <c r="D197">
        <v>3</v>
      </c>
      <c r="E197">
        <v>3</v>
      </c>
      <c r="F197">
        <v>3</v>
      </c>
      <c r="G197">
        <v>770</v>
      </c>
      <c r="H197" t="s">
        <v>841</v>
      </c>
      <c r="I197" t="s">
        <v>842</v>
      </c>
      <c r="J197">
        <v>2010</v>
      </c>
      <c r="K197" t="s">
        <v>855</v>
      </c>
      <c r="L197" t="s">
        <v>844</v>
      </c>
      <c r="M197" t="s">
        <v>845</v>
      </c>
      <c r="N197" t="s">
        <v>845</v>
      </c>
      <c r="O197" t="s">
        <v>844</v>
      </c>
      <c r="P197">
        <v>0</v>
      </c>
      <c r="Q197" t="s">
        <v>844</v>
      </c>
      <c r="R197">
        <v>275</v>
      </c>
      <c r="S197">
        <v>67</v>
      </c>
      <c r="T197">
        <v>0.24363636363636401</v>
      </c>
      <c r="U197" s="7" t="s">
        <v>846</v>
      </c>
      <c r="V197">
        <v>67</v>
      </c>
      <c r="W197" s="7" t="s">
        <v>846</v>
      </c>
      <c r="X197">
        <v>80</v>
      </c>
      <c r="Y197" s="7" t="s">
        <v>872</v>
      </c>
    </row>
    <row r="198" spans="1:25" ht="45" x14ac:dyDescent="0.25">
      <c r="A198" t="s">
        <v>406</v>
      </c>
      <c r="B198">
        <v>2012</v>
      </c>
      <c r="C198" t="s">
        <v>809</v>
      </c>
      <c r="D198">
        <v>3</v>
      </c>
      <c r="E198">
        <v>3</v>
      </c>
      <c r="F198">
        <v>3</v>
      </c>
      <c r="G198">
        <v>780</v>
      </c>
      <c r="H198" t="s">
        <v>859</v>
      </c>
      <c r="I198" t="s">
        <v>842</v>
      </c>
      <c r="J198">
        <v>2010</v>
      </c>
      <c r="K198" t="s">
        <v>855</v>
      </c>
      <c r="L198" t="s">
        <v>844</v>
      </c>
      <c r="M198" t="s">
        <v>853</v>
      </c>
      <c r="N198" t="s">
        <v>849</v>
      </c>
      <c r="O198" t="s">
        <v>844</v>
      </c>
      <c r="P198">
        <v>0</v>
      </c>
      <c r="Q198" t="s">
        <v>844</v>
      </c>
      <c r="R198">
        <v>275</v>
      </c>
      <c r="S198">
        <v>34</v>
      </c>
      <c r="T198">
        <v>0.410909090909091</v>
      </c>
      <c r="U198" s="7" t="s">
        <v>854</v>
      </c>
      <c r="V198">
        <v>113</v>
      </c>
      <c r="W198" s="7" t="s">
        <v>851</v>
      </c>
      <c r="X198">
        <v>80</v>
      </c>
      <c r="Y198" s="7" t="s">
        <v>872</v>
      </c>
    </row>
    <row r="199" spans="1:25" ht="45" x14ac:dyDescent="0.25">
      <c r="A199" t="s">
        <v>408</v>
      </c>
      <c r="B199">
        <v>2012</v>
      </c>
      <c r="C199" t="s">
        <v>814</v>
      </c>
      <c r="D199">
        <v>3</v>
      </c>
      <c r="E199">
        <v>3</v>
      </c>
      <c r="F199">
        <v>3</v>
      </c>
      <c r="G199">
        <v>700</v>
      </c>
      <c r="H199" t="s">
        <v>841</v>
      </c>
      <c r="I199" t="s">
        <v>869</v>
      </c>
      <c r="J199">
        <v>2010</v>
      </c>
      <c r="K199" t="s">
        <v>855</v>
      </c>
      <c r="L199" t="s">
        <v>844</v>
      </c>
      <c r="M199" t="s">
        <v>853</v>
      </c>
      <c r="N199" t="s">
        <v>849</v>
      </c>
      <c r="O199" t="s">
        <v>844</v>
      </c>
      <c r="P199">
        <v>0</v>
      </c>
      <c r="Q199" t="s">
        <v>844</v>
      </c>
      <c r="R199">
        <v>275</v>
      </c>
      <c r="S199">
        <v>34</v>
      </c>
      <c r="T199">
        <v>0.410909090909091</v>
      </c>
      <c r="U199" s="7" t="s">
        <v>854</v>
      </c>
      <c r="V199">
        <v>113</v>
      </c>
      <c r="W199" s="7" t="s">
        <v>851</v>
      </c>
      <c r="X199">
        <v>80</v>
      </c>
      <c r="Y199" s="7" t="s">
        <v>872</v>
      </c>
    </row>
    <row r="200" spans="1:25" ht="30" x14ac:dyDescent="0.25">
      <c r="A200" t="s">
        <v>410</v>
      </c>
      <c r="B200">
        <v>2012</v>
      </c>
      <c r="C200" t="s">
        <v>807</v>
      </c>
      <c r="D200" t="s">
        <v>844</v>
      </c>
      <c r="E200" t="s">
        <v>844</v>
      </c>
      <c r="F200" t="s">
        <v>844</v>
      </c>
      <c r="G200">
        <v>710</v>
      </c>
      <c r="H200" t="s">
        <v>859</v>
      </c>
      <c r="I200" t="s">
        <v>842</v>
      </c>
      <c r="J200" t="s">
        <v>844</v>
      </c>
      <c r="K200" t="s">
        <v>844</v>
      </c>
      <c r="L200" t="s">
        <v>860</v>
      </c>
      <c r="M200" t="s">
        <v>807</v>
      </c>
      <c r="N200" t="s">
        <v>807</v>
      </c>
      <c r="O200">
        <v>668.15444699215504</v>
      </c>
      <c r="P200">
        <v>798.65649293189199</v>
      </c>
      <c r="Q200">
        <v>0.26</v>
      </c>
      <c r="R200">
        <v>275</v>
      </c>
      <c r="S200">
        <v>79</v>
      </c>
      <c r="T200">
        <v>0.28727272727272701</v>
      </c>
      <c r="U200" s="7" t="s">
        <v>858</v>
      </c>
      <c r="V200">
        <v>79</v>
      </c>
      <c r="W200" s="7" t="s">
        <v>858</v>
      </c>
      <c r="X200">
        <v>80</v>
      </c>
      <c r="Y200" s="7" t="s">
        <v>872</v>
      </c>
    </row>
    <row r="201" spans="1:25" ht="30" x14ac:dyDescent="0.25">
      <c r="A201" t="s">
        <v>412</v>
      </c>
      <c r="B201">
        <v>2012</v>
      </c>
      <c r="C201" t="s">
        <v>803</v>
      </c>
      <c r="D201">
        <v>3</v>
      </c>
      <c r="E201">
        <v>3</v>
      </c>
      <c r="F201">
        <v>3</v>
      </c>
      <c r="G201" t="s">
        <v>844</v>
      </c>
      <c r="H201" t="s">
        <v>841</v>
      </c>
      <c r="I201" t="s">
        <v>852</v>
      </c>
      <c r="J201">
        <v>2010</v>
      </c>
      <c r="K201" t="s">
        <v>855</v>
      </c>
      <c r="L201" t="s">
        <v>844</v>
      </c>
      <c r="M201" t="s">
        <v>845</v>
      </c>
      <c r="N201" t="s">
        <v>845</v>
      </c>
      <c r="O201" t="s">
        <v>844</v>
      </c>
      <c r="P201">
        <v>0</v>
      </c>
      <c r="Q201" t="s">
        <v>844</v>
      </c>
      <c r="R201">
        <v>275</v>
      </c>
      <c r="S201">
        <v>67</v>
      </c>
      <c r="T201">
        <v>0.24363636363636401</v>
      </c>
      <c r="U201" s="7" t="s">
        <v>846</v>
      </c>
      <c r="V201">
        <v>67</v>
      </c>
      <c r="W201" s="7" t="s">
        <v>846</v>
      </c>
      <c r="X201">
        <v>80</v>
      </c>
      <c r="Y201" s="7" t="s">
        <v>872</v>
      </c>
    </row>
    <row r="202" spans="1:25" ht="45" x14ac:dyDescent="0.25">
      <c r="A202" t="s">
        <v>414</v>
      </c>
      <c r="B202">
        <v>2012</v>
      </c>
      <c r="C202" t="s">
        <v>804</v>
      </c>
      <c r="D202">
        <v>3</v>
      </c>
      <c r="E202">
        <v>3</v>
      </c>
      <c r="F202">
        <v>3</v>
      </c>
      <c r="G202">
        <v>860</v>
      </c>
      <c r="H202" t="s">
        <v>859</v>
      </c>
      <c r="I202" t="s">
        <v>842</v>
      </c>
      <c r="J202">
        <v>2010</v>
      </c>
      <c r="K202" t="s">
        <v>855</v>
      </c>
      <c r="L202" t="s">
        <v>844</v>
      </c>
      <c r="M202" t="s">
        <v>848</v>
      </c>
      <c r="N202" t="s">
        <v>849</v>
      </c>
      <c r="O202" t="s">
        <v>844</v>
      </c>
      <c r="P202">
        <v>0</v>
      </c>
      <c r="Q202" t="s">
        <v>844</v>
      </c>
      <c r="R202">
        <v>275</v>
      </c>
      <c r="S202">
        <v>79</v>
      </c>
      <c r="T202">
        <v>0.410909090909091</v>
      </c>
      <c r="U202" s="7" t="s">
        <v>850</v>
      </c>
      <c r="V202">
        <v>113</v>
      </c>
      <c r="W202" s="7" t="s">
        <v>851</v>
      </c>
      <c r="X202">
        <v>80</v>
      </c>
      <c r="Y202" s="7" t="s">
        <v>872</v>
      </c>
    </row>
    <row r="203" spans="1:25" ht="30" x14ac:dyDescent="0.25">
      <c r="A203" t="s">
        <v>416</v>
      </c>
      <c r="B203">
        <v>2012</v>
      </c>
      <c r="C203" t="s">
        <v>807</v>
      </c>
      <c r="D203">
        <v>3</v>
      </c>
      <c r="E203">
        <v>3</v>
      </c>
      <c r="F203">
        <v>3</v>
      </c>
      <c r="G203">
        <v>760</v>
      </c>
      <c r="H203" t="s">
        <v>859</v>
      </c>
      <c r="I203" t="s">
        <v>842</v>
      </c>
      <c r="J203">
        <v>2010</v>
      </c>
      <c r="K203" t="s">
        <v>855</v>
      </c>
      <c r="L203" t="s">
        <v>860</v>
      </c>
      <c r="M203" t="s">
        <v>807</v>
      </c>
      <c r="N203" t="s">
        <v>807</v>
      </c>
      <c r="O203">
        <v>506.84391430954798</v>
      </c>
      <c r="P203">
        <v>591.73363884626099</v>
      </c>
      <c r="Q203">
        <v>0.28999999999999998</v>
      </c>
      <c r="R203">
        <v>275</v>
      </c>
      <c r="S203">
        <v>79</v>
      </c>
      <c r="T203">
        <v>0.28727272727272701</v>
      </c>
      <c r="U203" s="7" t="s">
        <v>858</v>
      </c>
      <c r="V203">
        <v>79</v>
      </c>
      <c r="W203" s="7" t="s">
        <v>858</v>
      </c>
      <c r="X203">
        <v>80</v>
      </c>
      <c r="Y203" s="7" t="s">
        <v>872</v>
      </c>
    </row>
    <row r="204" spans="1:25" ht="30" x14ac:dyDescent="0.25">
      <c r="A204" t="s">
        <v>418</v>
      </c>
      <c r="B204">
        <v>2012</v>
      </c>
      <c r="C204" t="s">
        <v>807</v>
      </c>
      <c r="D204">
        <v>3</v>
      </c>
      <c r="E204">
        <v>3</v>
      </c>
      <c r="F204">
        <v>3</v>
      </c>
      <c r="G204">
        <v>640</v>
      </c>
      <c r="H204" t="s">
        <v>841</v>
      </c>
      <c r="I204" t="s">
        <v>842</v>
      </c>
      <c r="J204">
        <v>2010</v>
      </c>
      <c r="K204" t="s">
        <v>855</v>
      </c>
      <c r="L204" t="s">
        <v>860</v>
      </c>
      <c r="M204" t="s">
        <v>807</v>
      </c>
      <c r="N204" t="s">
        <v>807</v>
      </c>
      <c r="O204">
        <v>484.19189480099601</v>
      </c>
      <c r="P204">
        <v>586.71730642134196</v>
      </c>
      <c r="Q204">
        <v>0.33</v>
      </c>
      <c r="R204">
        <v>275</v>
      </c>
      <c r="S204">
        <v>79</v>
      </c>
      <c r="T204">
        <v>0.28727272727272701</v>
      </c>
      <c r="U204" s="7" t="s">
        <v>858</v>
      </c>
      <c r="V204">
        <v>79</v>
      </c>
      <c r="W204" s="7" t="s">
        <v>858</v>
      </c>
      <c r="X204">
        <v>80</v>
      </c>
      <c r="Y204" s="7" t="s">
        <v>872</v>
      </c>
    </row>
    <row r="205" spans="1:25" ht="45" x14ac:dyDescent="0.25">
      <c r="A205" t="s">
        <v>420</v>
      </c>
      <c r="B205">
        <v>2012</v>
      </c>
      <c r="C205" t="s">
        <v>811</v>
      </c>
      <c r="D205">
        <v>3</v>
      </c>
      <c r="E205">
        <v>3</v>
      </c>
      <c r="F205">
        <v>3</v>
      </c>
      <c r="G205">
        <v>740</v>
      </c>
      <c r="H205" t="s">
        <v>841</v>
      </c>
      <c r="I205" t="s">
        <v>842</v>
      </c>
      <c r="J205">
        <v>2010</v>
      </c>
      <c r="K205" t="s">
        <v>855</v>
      </c>
      <c r="L205" t="s">
        <v>844</v>
      </c>
      <c r="M205" t="s">
        <v>848</v>
      </c>
      <c r="N205" t="s">
        <v>849</v>
      </c>
      <c r="O205" t="s">
        <v>844</v>
      </c>
      <c r="P205">
        <v>0</v>
      </c>
      <c r="Q205" t="s">
        <v>844</v>
      </c>
      <c r="R205">
        <v>275</v>
      </c>
      <c r="S205">
        <v>79</v>
      </c>
      <c r="T205">
        <v>0.410909090909091</v>
      </c>
      <c r="U205" s="7" t="s">
        <v>850</v>
      </c>
      <c r="V205">
        <v>113</v>
      </c>
      <c r="W205" s="7" t="s">
        <v>851</v>
      </c>
      <c r="X205">
        <v>80</v>
      </c>
      <c r="Y205" s="7" t="s">
        <v>872</v>
      </c>
    </row>
    <row r="206" spans="1:25" ht="45" x14ac:dyDescent="0.25">
      <c r="A206" t="s">
        <v>422</v>
      </c>
      <c r="B206">
        <v>2012</v>
      </c>
      <c r="C206" t="s">
        <v>804</v>
      </c>
      <c r="D206">
        <v>3</v>
      </c>
      <c r="E206">
        <v>3</v>
      </c>
      <c r="F206">
        <v>3</v>
      </c>
      <c r="G206">
        <v>705</v>
      </c>
      <c r="H206" t="s">
        <v>841</v>
      </c>
      <c r="I206" t="s">
        <v>842</v>
      </c>
      <c r="J206">
        <v>2010</v>
      </c>
      <c r="K206" t="s">
        <v>855</v>
      </c>
      <c r="L206" t="s">
        <v>844</v>
      </c>
      <c r="M206" t="s">
        <v>848</v>
      </c>
      <c r="N206" t="s">
        <v>849</v>
      </c>
      <c r="O206" t="s">
        <v>844</v>
      </c>
      <c r="P206">
        <v>0</v>
      </c>
      <c r="Q206" t="s">
        <v>844</v>
      </c>
      <c r="R206">
        <v>275</v>
      </c>
      <c r="S206">
        <v>79</v>
      </c>
      <c r="T206">
        <v>0.410909090909091</v>
      </c>
      <c r="U206" s="7" t="s">
        <v>850</v>
      </c>
      <c r="V206">
        <v>113</v>
      </c>
      <c r="W206" s="7" t="s">
        <v>851</v>
      </c>
      <c r="X206">
        <v>80</v>
      </c>
      <c r="Y206" s="7" t="s">
        <v>872</v>
      </c>
    </row>
    <row r="207" spans="1:25" ht="30" x14ac:dyDescent="0.25">
      <c r="A207" t="s">
        <v>424</v>
      </c>
      <c r="B207">
        <v>2012</v>
      </c>
      <c r="C207" t="s">
        <v>806</v>
      </c>
      <c r="D207">
        <v>3</v>
      </c>
      <c r="E207">
        <v>3</v>
      </c>
      <c r="F207">
        <v>3</v>
      </c>
      <c r="G207">
        <v>755</v>
      </c>
      <c r="H207" t="s">
        <v>841</v>
      </c>
      <c r="I207" t="s">
        <v>842</v>
      </c>
      <c r="J207">
        <v>2010</v>
      </c>
      <c r="K207" t="s">
        <v>855</v>
      </c>
      <c r="L207" t="s">
        <v>844</v>
      </c>
      <c r="M207" t="s">
        <v>845</v>
      </c>
      <c r="N207" t="s">
        <v>845</v>
      </c>
      <c r="O207" t="s">
        <v>844</v>
      </c>
      <c r="P207">
        <v>0</v>
      </c>
      <c r="Q207" t="s">
        <v>844</v>
      </c>
      <c r="R207">
        <v>275</v>
      </c>
      <c r="S207">
        <v>67</v>
      </c>
      <c r="T207">
        <v>0.24363636363636401</v>
      </c>
      <c r="U207" s="7" t="s">
        <v>846</v>
      </c>
      <c r="V207">
        <v>67</v>
      </c>
      <c r="W207" s="7" t="s">
        <v>846</v>
      </c>
      <c r="X207">
        <v>80</v>
      </c>
      <c r="Y207" s="7" t="s">
        <v>872</v>
      </c>
    </row>
    <row r="208" spans="1:25" ht="45" x14ac:dyDescent="0.25">
      <c r="A208" t="s">
        <v>426</v>
      </c>
      <c r="B208">
        <v>2012</v>
      </c>
      <c r="C208" t="s">
        <v>804</v>
      </c>
      <c r="D208">
        <v>3</v>
      </c>
      <c r="E208">
        <v>3</v>
      </c>
      <c r="F208">
        <v>3</v>
      </c>
      <c r="G208">
        <v>810</v>
      </c>
      <c r="H208" t="s">
        <v>859</v>
      </c>
      <c r="I208" t="s">
        <v>842</v>
      </c>
      <c r="J208">
        <v>2010</v>
      </c>
      <c r="K208" t="s">
        <v>855</v>
      </c>
      <c r="L208" t="s">
        <v>844</v>
      </c>
      <c r="M208" t="s">
        <v>848</v>
      </c>
      <c r="N208" t="s">
        <v>849</v>
      </c>
      <c r="O208" t="s">
        <v>844</v>
      </c>
      <c r="P208">
        <v>0</v>
      </c>
      <c r="Q208" t="s">
        <v>844</v>
      </c>
      <c r="R208">
        <v>275</v>
      </c>
      <c r="S208">
        <v>79</v>
      </c>
      <c r="T208">
        <v>0.410909090909091</v>
      </c>
      <c r="U208" s="7" t="s">
        <v>850</v>
      </c>
      <c r="V208">
        <v>113</v>
      </c>
      <c r="W208" s="7" t="s">
        <v>851</v>
      </c>
      <c r="X208">
        <v>80</v>
      </c>
      <c r="Y208" s="7" t="s">
        <v>872</v>
      </c>
    </row>
    <row r="209" spans="1:25" ht="45" x14ac:dyDescent="0.25">
      <c r="A209" t="s">
        <v>428</v>
      </c>
      <c r="B209">
        <v>2012</v>
      </c>
      <c r="C209" t="s">
        <v>804</v>
      </c>
      <c r="D209" t="s">
        <v>844</v>
      </c>
      <c r="E209" t="s">
        <v>844</v>
      </c>
      <c r="F209" t="s">
        <v>844</v>
      </c>
      <c r="G209">
        <v>775</v>
      </c>
      <c r="H209" t="s">
        <v>841</v>
      </c>
      <c r="I209" t="s">
        <v>842</v>
      </c>
      <c r="J209" t="s">
        <v>844</v>
      </c>
      <c r="K209" t="s">
        <v>844</v>
      </c>
      <c r="L209" t="s">
        <v>844</v>
      </c>
      <c r="M209" t="s">
        <v>848</v>
      </c>
      <c r="N209" t="s">
        <v>849</v>
      </c>
      <c r="O209" t="s">
        <v>844</v>
      </c>
      <c r="P209">
        <v>0</v>
      </c>
      <c r="Q209" t="s">
        <v>844</v>
      </c>
      <c r="R209">
        <v>275</v>
      </c>
      <c r="S209">
        <v>79</v>
      </c>
      <c r="T209">
        <v>0.410909090909091</v>
      </c>
      <c r="U209" s="7" t="s">
        <v>850</v>
      </c>
      <c r="V209">
        <v>113</v>
      </c>
      <c r="W209" s="7" t="s">
        <v>851</v>
      </c>
      <c r="X209">
        <v>80</v>
      </c>
      <c r="Y209" s="7" t="s">
        <v>872</v>
      </c>
    </row>
    <row r="210" spans="1:25" ht="30" x14ac:dyDescent="0.25">
      <c r="A210" t="s">
        <v>430</v>
      </c>
      <c r="B210">
        <v>2012</v>
      </c>
      <c r="C210" t="s">
        <v>803</v>
      </c>
      <c r="D210">
        <v>3</v>
      </c>
      <c r="E210">
        <v>3</v>
      </c>
      <c r="F210">
        <v>3</v>
      </c>
      <c r="G210">
        <v>675</v>
      </c>
      <c r="H210" t="s">
        <v>841</v>
      </c>
      <c r="I210" t="s">
        <v>852</v>
      </c>
      <c r="J210">
        <v>2010</v>
      </c>
      <c r="K210" t="s">
        <v>855</v>
      </c>
      <c r="L210" t="s">
        <v>844</v>
      </c>
      <c r="M210" t="s">
        <v>845</v>
      </c>
      <c r="N210" t="s">
        <v>845</v>
      </c>
      <c r="O210" t="s">
        <v>844</v>
      </c>
      <c r="P210">
        <v>0</v>
      </c>
      <c r="Q210" t="s">
        <v>844</v>
      </c>
      <c r="R210">
        <v>275</v>
      </c>
      <c r="S210">
        <v>67</v>
      </c>
      <c r="T210">
        <v>0.24363636363636401</v>
      </c>
      <c r="U210" s="7" t="s">
        <v>846</v>
      </c>
      <c r="V210">
        <v>67</v>
      </c>
      <c r="W210" s="7" t="s">
        <v>846</v>
      </c>
      <c r="X210">
        <v>80</v>
      </c>
      <c r="Y210" s="7" t="s">
        <v>872</v>
      </c>
    </row>
    <row r="211" spans="1:25" ht="30" x14ac:dyDescent="0.25">
      <c r="A211" t="s">
        <v>432</v>
      </c>
      <c r="B211">
        <v>2012</v>
      </c>
      <c r="C211" t="s">
        <v>807</v>
      </c>
      <c r="D211">
        <v>3</v>
      </c>
      <c r="E211">
        <v>3</v>
      </c>
      <c r="F211">
        <v>3</v>
      </c>
      <c r="G211">
        <v>755</v>
      </c>
      <c r="H211" t="s">
        <v>841</v>
      </c>
      <c r="I211" t="s">
        <v>842</v>
      </c>
      <c r="J211">
        <v>2010</v>
      </c>
      <c r="K211" t="s">
        <v>855</v>
      </c>
      <c r="L211" t="s">
        <v>860</v>
      </c>
      <c r="M211" t="s">
        <v>807</v>
      </c>
      <c r="N211" t="s">
        <v>807</v>
      </c>
      <c r="O211">
        <v>517.44923946362496</v>
      </c>
      <c r="P211">
        <v>607.37324523259304</v>
      </c>
      <c r="Q211">
        <v>0.34</v>
      </c>
      <c r="R211">
        <v>275</v>
      </c>
      <c r="S211">
        <v>79</v>
      </c>
      <c r="T211">
        <v>0.28727272727272701</v>
      </c>
      <c r="U211" s="7" t="s">
        <v>858</v>
      </c>
      <c r="V211">
        <v>79</v>
      </c>
      <c r="W211" s="7" t="s">
        <v>858</v>
      </c>
      <c r="X211">
        <v>80</v>
      </c>
      <c r="Y211" s="7" t="s">
        <v>872</v>
      </c>
    </row>
    <row r="212" spans="1:25" ht="30" x14ac:dyDescent="0.25">
      <c r="A212" t="s">
        <v>434</v>
      </c>
      <c r="B212">
        <v>2012</v>
      </c>
      <c r="C212" t="s">
        <v>807</v>
      </c>
      <c r="D212">
        <v>3</v>
      </c>
      <c r="E212">
        <v>3</v>
      </c>
      <c r="F212">
        <v>3</v>
      </c>
      <c r="G212">
        <v>715</v>
      </c>
      <c r="H212" t="s">
        <v>841</v>
      </c>
      <c r="I212" t="s">
        <v>842</v>
      </c>
      <c r="J212">
        <v>2010</v>
      </c>
      <c r="K212" t="s">
        <v>855</v>
      </c>
      <c r="L212" t="s">
        <v>860</v>
      </c>
      <c r="M212" t="s">
        <v>807</v>
      </c>
      <c r="N212" t="s">
        <v>807</v>
      </c>
      <c r="O212">
        <v>589.48075863960503</v>
      </c>
      <c r="P212">
        <v>673.270941448597</v>
      </c>
      <c r="Q212">
        <v>0.22</v>
      </c>
      <c r="R212">
        <v>275</v>
      </c>
      <c r="S212">
        <v>79</v>
      </c>
      <c r="T212">
        <v>0.28727272727272701</v>
      </c>
      <c r="U212" s="7" t="s">
        <v>858</v>
      </c>
      <c r="V212">
        <v>79</v>
      </c>
      <c r="W212" s="7" t="s">
        <v>858</v>
      </c>
      <c r="X212">
        <v>80</v>
      </c>
      <c r="Y212" s="7" t="s">
        <v>872</v>
      </c>
    </row>
    <row r="213" spans="1:25" ht="45" x14ac:dyDescent="0.25">
      <c r="A213" t="s">
        <v>436</v>
      </c>
      <c r="B213">
        <v>2012</v>
      </c>
      <c r="C213" t="s">
        <v>810</v>
      </c>
      <c r="D213">
        <v>3</v>
      </c>
      <c r="E213">
        <v>3</v>
      </c>
      <c r="F213">
        <v>3</v>
      </c>
      <c r="G213">
        <v>715</v>
      </c>
      <c r="H213" t="s">
        <v>841</v>
      </c>
      <c r="I213" t="s">
        <v>842</v>
      </c>
      <c r="J213">
        <v>2010</v>
      </c>
      <c r="K213" t="s">
        <v>855</v>
      </c>
      <c r="L213" t="s">
        <v>844</v>
      </c>
      <c r="M213" t="s">
        <v>810</v>
      </c>
      <c r="N213" t="s">
        <v>810</v>
      </c>
      <c r="O213" t="s">
        <v>844</v>
      </c>
      <c r="P213">
        <v>0</v>
      </c>
      <c r="Q213" t="s">
        <v>844</v>
      </c>
      <c r="R213">
        <v>275</v>
      </c>
      <c r="S213">
        <v>16</v>
      </c>
      <c r="T213">
        <v>5.8181818181818203E-2</v>
      </c>
      <c r="U213" s="7" t="s">
        <v>861</v>
      </c>
      <c r="V213">
        <v>16</v>
      </c>
      <c r="W213" s="7" t="s">
        <v>861</v>
      </c>
      <c r="X213">
        <v>80</v>
      </c>
      <c r="Y213" s="7" t="s">
        <v>872</v>
      </c>
    </row>
    <row r="214" spans="1:25" ht="45" x14ac:dyDescent="0.25">
      <c r="A214" t="s">
        <v>438</v>
      </c>
      <c r="B214">
        <v>2012</v>
      </c>
      <c r="C214" t="s">
        <v>812</v>
      </c>
      <c r="D214">
        <v>3</v>
      </c>
      <c r="E214">
        <v>3</v>
      </c>
      <c r="F214">
        <v>3</v>
      </c>
      <c r="G214">
        <v>830</v>
      </c>
      <c r="H214" t="s">
        <v>859</v>
      </c>
      <c r="I214" t="s">
        <v>842</v>
      </c>
      <c r="J214">
        <v>2010</v>
      </c>
      <c r="K214" t="s">
        <v>855</v>
      </c>
      <c r="L214" t="s">
        <v>844</v>
      </c>
      <c r="M214" t="s">
        <v>848</v>
      </c>
      <c r="N214" t="s">
        <v>849</v>
      </c>
      <c r="O214" t="s">
        <v>844</v>
      </c>
      <c r="P214">
        <v>0</v>
      </c>
      <c r="Q214" t="s">
        <v>844</v>
      </c>
      <c r="R214">
        <v>275</v>
      </c>
      <c r="S214">
        <v>79</v>
      </c>
      <c r="T214">
        <v>0.410909090909091</v>
      </c>
      <c r="U214" s="7" t="s">
        <v>850</v>
      </c>
      <c r="V214">
        <v>113</v>
      </c>
      <c r="W214" s="7" t="s">
        <v>851</v>
      </c>
      <c r="X214">
        <v>80</v>
      </c>
      <c r="Y214" s="7" t="s">
        <v>872</v>
      </c>
    </row>
    <row r="215" spans="1:25" ht="30" x14ac:dyDescent="0.25">
      <c r="A215" t="s">
        <v>440</v>
      </c>
      <c r="B215">
        <v>2012</v>
      </c>
      <c r="C215" t="s">
        <v>806</v>
      </c>
      <c r="D215">
        <v>3</v>
      </c>
      <c r="E215">
        <v>3</v>
      </c>
      <c r="F215">
        <v>3</v>
      </c>
      <c r="G215">
        <v>740</v>
      </c>
      <c r="H215" t="s">
        <v>859</v>
      </c>
      <c r="I215" t="s">
        <v>842</v>
      </c>
      <c r="J215">
        <v>2010</v>
      </c>
      <c r="K215" t="s">
        <v>855</v>
      </c>
      <c r="L215" t="s">
        <v>844</v>
      </c>
      <c r="M215" t="s">
        <v>845</v>
      </c>
      <c r="N215" t="s">
        <v>845</v>
      </c>
      <c r="O215" t="s">
        <v>844</v>
      </c>
      <c r="P215">
        <v>0</v>
      </c>
      <c r="Q215" t="s">
        <v>844</v>
      </c>
      <c r="R215">
        <v>275</v>
      </c>
      <c r="S215">
        <v>67</v>
      </c>
      <c r="T215">
        <v>0.24363636363636401</v>
      </c>
      <c r="U215" s="7" t="s">
        <v>846</v>
      </c>
      <c r="V215">
        <v>67</v>
      </c>
      <c r="W215" s="7" t="s">
        <v>846</v>
      </c>
      <c r="X215">
        <v>80</v>
      </c>
      <c r="Y215" s="7" t="s">
        <v>872</v>
      </c>
    </row>
    <row r="216" spans="1:25" ht="45" x14ac:dyDescent="0.25">
      <c r="A216" t="s">
        <v>442</v>
      </c>
      <c r="B216">
        <v>2012</v>
      </c>
      <c r="C216" t="s">
        <v>808</v>
      </c>
      <c r="D216">
        <v>3</v>
      </c>
      <c r="E216">
        <v>3</v>
      </c>
      <c r="F216">
        <v>3</v>
      </c>
      <c r="G216">
        <v>810</v>
      </c>
      <c r="H216" t="s">
        <v>859</v>
      </c>
      <c r="I216" t="s">
        <v>869</v>
      </c>
      <c r="J216">
        <v>2010</v>
      </c>
      <c r="K216" t="s">
        <v>855</v>
      </c>
      <c r="L216" t="s">
        <v>844</v>
      </c>
      <c r="M216" t="s">
        <v>853</v>
      </c>
      <c r="N216" t="s">
        <v>849</v>
      </c>
      <c r="O216" t="s">
        <v>844</v>
      </c>
      <c r="P216">
        <v>0</v>
      </c>
      <c r="Q216" t="s">
        <v>844</v>
      </c>
      <c r="R216">
        <v>275</v>
      </c>
      <c r="S216">
        <v>34</v>
      </c>
      <c r="T216">
        <v>0.410909090909091</v>
      </c>
      <c r="U216" s="7" t="s">
        <v>854</v>
      </c>
      <c r="V216">
        <v>113</v>
      </c>
      <c r="W216" s="7" t="s">
        <v>851</v>
      </c>
      <c r="X216">
        <v>80</v>
      </c>
      <c r="Y216" s="7" t="s">
        <v>872</v>
      </c>
    </row>
    <row r="217" spans="1:25" ht="45" x14ac:dyDescent="0.25">
      <c r="A217" t="s">
        <v>444</v>
      </c>
      <c r="B217">
        <v>2012</v>
      </c>
      <c r="C217" t="s">
        <v>804</v>
      </c>
      <c r="D217">
        <v>3</v>
      </c>
      <c r="E217">
        <v>3</v>
      </c>
      <c r="F217">
        <v>3</v>
      </c>
      <c r="G217">
        <v>875</v>
      </c>
      <c r="H217" t="s">
        <v>859</v>
      </c>
      <c r="I217" t="s">
        <v>842</v>
      </c>
      <c r="J217">
        <v>2010</v>
      </c>
      <c r="K217" t="s">
        <v>855</v>
      </c>
      <c r="L217" t="s">
        <v>844</v>
      </c>
      <c r="M217" t="s">
        <v>848</v>
      </c>
      <c r="N217" t="s">
        <v>849</v>
      </c>
      <c r="O217" t="s">
        <v>844</v>
      </c>
      <c r="P217">
        <v>0</v>
      </c>
      <c r="Q217" t="s">
        <v>844</v>
      </c>
      <c r="R217">
        <v>275</v>
      </c>
      <c r="S217">
        <v>79</v>
      </c>
      <c r="T217">
        <v>0.410909090909091</v>
      </c>
      <c r="U217" s="7" t="s">
        <v>850</v>
      </c>
      <c r="V217">
        <v>113</v>
      </c>
      <c r="W217" s="7" t="s">
        <v>851</v>
      </c>
      <c r="X217">
        <v>80</v>
      </c>
      <c r="Y217" s="7" t="s">
        <v>872</v>
      </c>
    </row>
    <row r="218" spans="1:25" ht="30" x14ac:dyDescent="0.25">
      <c r="A218" t="s">
        <v>356</v>
      </c>
      <c r="B218">
        <v>2013</v>
      </c>
      <c r="C218" t="s">
        <v>807</v>
      </c>
      <c r="D218">
        <v>3</v>
      </c>
      <c r="E218">
        <v>3</v>
      </c>
      <c r="F218">
        <v>3</v>
      </c>
      <c r="G218" t="s">
        <v>844</v>
      </c>
      <c r="H218" t="s">
        <v>852</v>
      </c>
      <c r="I218" t="s">
        <v>842</v>
      </c>
      <c r="J218">
        <v>2011</v>
      </c>
      <c r="K218" t="s">
        <v>863</v>
      </c>
      <c r="L218" t="s">
        <v>860</v>
      </c>
      <c r="M218" t="s">
        <v>807</v>
      </c>
      <c r="N218" t="s">
        <v>807</v>
      </c>
      <c r="O218">
        <v>528.05454072938198</v>
      </c>
      <c r="P218">
        <v>627.91473103861404</v>
      </c>
      <c r="Q218">
        <v>0.24</v>
      </c>
      <c r="R218">
        <v>275</v>
      </c>
      <c r="S218">
        <v>79</v>
      </c>
      <c r="T218">
        <v>0.28727272727272701</v>
      </c>
      <c r="U218" s="7" t="s">
        <v>858</v>
      </c>
      <c r="V218">
        <v>79</v>
      </c>
      <c r="W218" s="7" t="s">
        <v>858</v>
      </c>
      <c r="X218">
        <v>13</v>
      </c>
      <c r="Y218" s="7" t="s">
        <v>873</v>
      </c>
    </row>
    <row r="219" spans="1:25" ht="45" x14ac:dyDescent="0.25">
      <c r="A219" t="s">
        <v>358</v>
      </c>
      <c r="B219">
        <v>2013</v>
      </c>
      <c r="C219" t="s">
        <v>804</v>
      </c>
      <c r="D219">
        <v>3</v>
      </c>
      <c r="E219">
        <v>3</v>
      </c>
      <c r="F219">
        <v>3</v>
      </c>
      <c r="G219" t="s">
        <v>844</v>
      </c>
      <c r="H219" t="s">
        <v>859</v>
      </c>
      <c r="I219" t="s">
        <v>852</v>
      </c>
      <c r="J219">
        <v>2011</v>
      </c>
      <c r="K219" t="s">
        <v>863</v>
      </c>
      <c r="L219" t="s">
        <v>844</v>
      </c>
      <c r="M219" t="s">
        <v>848</v>
      </c>
      <c r="N219" t="s">
        <v>849</v>
      </c>
      <c r="O219" t="s">
        <v>844</v>
      </c>
      <c r="P219">
        <v>0</v>
      </c>
      <c r="Q219" t="s">
        <v>844</v>
      </c>
      <c r="R219">
        <v>275</v>
      </c>
      <c r="S219">
        <v>79</v>
      </c>
      <c r="T219">
        <v>0.410909090909091</v>
      </c>
      <c r="U219" s="7" t="s">
        <v>850</v>
      </c>
      <c r="V219">
        <v>113</v>
      </c>
      <c r="W219" s="7" t="s">
        <v>851</v>
      </c>
      <c r="X219">
        <v>13</v>
      </c>
      <c r="Y219" s="7" t="s">
        <v>873</v>
      </c>
    </row>
    <row r="220" spans="1:25" ht="30" x14ac:dyDescent="0.25">
      <c r="A220" t="s">
        <v>360</v>
      </c>
      <c r="B220">
        <v>2013</v>
      </c>
      <c r="C220" t="s">
        <v>807</v>
      </c>
      <c r="D220">
        <v>3</v>
      </c>
      <c r="E220">
        <v>3</v>
      </c>
      <c r="F220">
        <v>3</v>
      </c>
      <c r="G220">
        <v>650</v>
      </c>
      <c r="H220" t="s">
        <v>852</v>
      </c>
      <c r="I220" t="s">
        <v>842</v>
      </c>
      <c r="J220">
        <v>2011</v>
      </c>
      <c r="K220" t="s">
        <v>863</v>
      </c>
      <c r="L220" t="s">
        <v>860</v>
      </c>
      <c r="M220" t="s">
        <v>807</v>
      </c>
      <c r="N220" t="s">
        <v>807</v>
      </c>
      <c r="O220">
        <v>480.22248194737</v>
      </c>
      <c r="P220">
        <v>553.78705475677896</v>
      </c>
      <c r="Q220">
        <v>0.28999999999999998</v>
      </c>
      <c r="R220">
        <v>275</v>
      </c>
      <c r="S220">
        <v>79</v>
      </c>
      <c r="T220">
        <v>0.28727272727272701</v>
      </c>
      <c r="U220" s="7" t="s">
        <v>858</v>
      </c>
      <c r="V220">
        <v>79</v>
      </c>
      <c r="W220" s="7" t="s">
        <v>858</v>
      </c>
      <c r="X220">
        <v>13</v>
      </c>
      <c r="Y220" s="7" t="s">
        <v>873</v>
      </c>
    </row>
    <row r="221" spans="1:25" ht="45" x14ac:dyDescent="0.25">
      <c r="A221" t="s">
        <v>362</v>
      </c>
      <c r="B221">
        <v>2013</v>
      </c>
      <c r="C221" t="s">
        <v>804</v>
      </c>
      <c r="D221">
        <v>4</v>
      </c>
      <c r="E221">
        <v>4</v>
      </c>
      <c r="F221">
        <v>4</v>
      </c>
      <c r="G221">
        <v>790</v>
      </c>
      <c r="H221" t="s">
        <v>841</v>
      </c>
      <c r="I221" t="s">
        <v>842</v>
      </c>
      <c r="J221">
        <v>2010</v>
      </c>
      <c r="K221" t="s">
        <v>855</v>
      </c>
      <c r="L221" t="s">
        <v>844</v>
      </c>
      <c r="M221" t="s">
        <v>848</v>
      </c>
      <c r="N221" t="s">
        <v>849</v>
      </c>
      <c r="O221" t="s">
        <v>844</v>
      </c>
      <c r="P221">
        <v>0</v>
      </c>
      <c r="Q221" t="s">
        <v>844</v>
      </c>
      <c r="R221">
        <v>275</v>
      </c>
      <c r="S221">
        <v>79</v>
      </c>
      <c r="T221">
        <v>0.410909090909091</v>
      </c>
      <c r="U221" s="7" t="s">
        <v>850</v>
      </c>
      <c r="V221">
        <v>113</v>
      </c>
      <c r="W221" s="7" t="s">
        <v>851</v>
      </c>
      <c r="X221">
        <v>13</v>
      </c>
      <c r="Y221" s="7" t="s">
        <v>873</v>
      </c>
    </row>
    <row r="222" spans="1:25" ht="45" x14ac:dyDescent="0.25">
      <c r="A222" t="s">
        <v>364</v>
      </c>
      <c r="B222">
        <v>2013</v>
      </c>
      <c r="C222" t="s">
        <v>811</v>
      </c>
      <c r="D222">
        <v>3</v>
      </c>
      <c r="E222">
        <v>3</v>
      </c>
      <c r="F222">
        <v>3</v>
      </c>
      <c r="G222">
        <v>785</v>
      </c>
      <c r="H222" t="s">
        <v>841</v>
      </c>
      <c r="I222" t="s">
        <v>869</v>
      </c>
      <c r="J222">
        <v>2011</v>
      </c>
      <c r="K222" t="s">
        <v>863</v>
      </c>
      <c r="L222" t="s">
        <v>844</v>
      </c>
      <c r="M222" t="s">
        <v>848</v>
      </c>
      <c r="N222" t="s">
        <v>849</v>
      </c>
      <c r="O222" t="s">
        <v>844</v>
      </c>
      <c r="P222">
        <v>0</v>
      </c>
      <c r="Q222" t="s">
        <v>844</v>
      </c>
      <c r="R222">
        <v>275</v>
      </c>
      <c r="S222">
        <v>79</v>
      </c>
      <c r="T222">
        <v>0.410909090909091</v>
      </c>
      <c r="U222" s="7" t="s">
        <v>850</v>
      </c>
      <c r="V222">
        <v>113</v>
      </c>
      <c r="W222" s="7" t="s">
        <v>851</v>
      </c>
      <c r="X222">
        <v>13</v>
      </c>
      <c r="Y222" s="7" t="s">
        <v>873</v>
      </c>
    </row>
    <row r="223" spans="1:25" ht="30" x14ac:dyDescent="0.25">
      <c r="A223" t="s">
        <v>366</v>
      </c>
      <c r="B223">
        <v>2013</v>
      </c>
      <c r="C223" t="s">
        <v>803</v>
      </c>
      <c r="D223">
        <v>3</v>
      </c>
      <c r="E223">
        <v>3</v>
      </c>
      <c r="F223">
        <v>3</v>
      </c>
      <c r="G223">
        <v>670</v>
      </c>
      <c r="H223" t="s">
        <v>841</v>
      </c>
      <c r="I223" t="s">
        <v>842</v>
      </c>
      <c r="J223">
        <v>2011</v>
      </c>
      <c r="K223" t="s">
        <v>863</v>
      </c>
      <c r="L223" t="s">
        <v>844</v>
      </c>
      <c r="M223" t="s">
        <v>845</v>
      </c>
      <c r="N223" t="s">
        <v>845</v>
      </c>
      <c r="O223" t="s">
        <v>844</v>
      </c>
      <c r="P223">
        <v>0</v>
      </c>
      <c r="Q223" t="s">
        <v>844</v>
      </c>
      <c r="R223">
        <v>275</v>
      </c>
      <c r="S223">
        <v>67</v>
      </c>
      <c r="T223">
        <v>0.24363636363636401</v>
      </c>
      <c r="U223" s="7" t="s">
        <v>846</v>
      </c>
      <c r="V223">
        <v>67</v>
      </c>
      <c r="W223" s="7" t="s">
        <v>846</v>
      </c>
      <c r="X223">
        <v>13</v>
      </c>
      <c r="Y223" s="7" t="s">
        <v>873</v>
      </c>
    </row>
    <row r="224" spans="1:25" ht="45" x14ac:dyDescent="0.25">
      <c r="A224" t="s">
        <v>368</v>
      </c>
      <c r="B224">
        <v>2013</v>
      </c>
      <c r="C224" t="s">
        <v>809</v>
      </c>
      <c r="D224">
        <v>4</v>
      </c>
      <c r="E224">
        <v>4</v>
      </c>
      <c r="F224">
        <v>4</v>
      </c>
      <c r="G224">
        <v>660</v>
      </c>
      <c r="H224" t="s">
        <v>859</v>
      </c>
      <c r="I224" t="s">
        <v>842</v>
      </c>
      <c r="J224">
        <v>2010</v>
      </c>
      <c r="K224" t="s">
        <v>855</v>
      </c>
      <c r="L224" t="s">
        <v>844</v>
      </c>
      <c r="M224" t="s">
        <v>853</v>
      </c>
      <c r="N224" t="s">
        <v>849</v>
      </c>
      <c r="O224" t="s">
        <v>844</v>
      </c>
      <c r="P224">
        <v>0</v>
      </c>
      <c r="Q224" t="s">
        <v>844</v>
      </c>
      <c r="R224">
        <v>275</v>
      </c>
      <c r="S224">
        <v>34</v>
      </c>
      <c r="T224">
        <v>0.410909090909091</v>
      </c>
      <c r="U224" s="7" t="s">
        <v>854</v>
      </c>
      <c r="V224">
        <v>113</v>
      </c>
      <c r="W224" s="7" t="s">
        <v>851</v>
      </c>
      <c r="X224">
        <v>13</v>
      </c>
      <c r="Y224" s="7" t="s">
        <v>873</v>
      </c>
    </row>
    <row r="225" spans="1:25" ht="45" x14ac:dyDescent="0.25">
      <c r="A225" t="s">
        <v>370</v>
      </c>
      <c r="B225">
        <v>2013</v>
      </c>
      <c r="C225" t="s">
        <v>804</v>
      </c>
      <c r="D225">
        <v>4</v>
      </c>
      <c r="E225">
        <v>4</v>
      </c>
      <c r="F225">
        <v>4</v>
      </c>
      <c r="G225">
        <v>910</v>
      </c>
      <c r="H225" t="s">
        <v>859</v>
      </c>
      <c r="I225" t="s">
        <v>852</v>
      </c>
      <c r="J225">
        <v>2010</v>
      </c>
      <c r="K225" t="s">
        <v>855</v>
      </c>
      <c r="L225" t="s">
        <v>844</v>
      </c>
      <c r="M225" t="s">
        <v>848</v>
      </c>
      <c r="N225" t="s">
        <v>849</v>
      </c>
      <c r="O225" t="s">
        <v>844</v>
      </c>
      <c r="P225">
        <v>0</v>
      </c>
      <c r="Q225" t="s">
        <v>844</v>
      </c>
      <c r="R225">
        <v>275</v>
      </c>
      <c r="S225">
        <v>79</v>
      </c>
      <c r="T225">
        <v>0.410909090909091</v>
      </c>
      <c r="U225" s="7" t="s">
        <v>850</v>
      </c>
      <c r="V225">
        <v>113</v>
      </c>
      <c r="W225" s="7" t="s">
        <v>851</v>
      </c>
      <c r="X225">
        <v>13</v>
      </c>
      <c r="Y225" s="7" t="s">
        <v>873</v>
      </c>
    </row>
    <row r="226" spans="1:25" ht="45" x14ac:dyDescent="0.25">
      <c r="A226" t="s">
        <v>372</v>
      </c>
      <c r="B226">
        <v>2013</v>
      </c>
      <c r="C226" t="s">
        <v>812</v>
      </c>
      <c r="D226">
        <v>4</v>
      </c>
      <c r="E226">
        <v>4</v>
      </c>
      <c r="F226">
        <v>4</v>
      </c>
      <c r="G226">
        <v>820</v>
      </c>
      <c r="H226" t="s">
        <v>841</v>
      </c>
      <c r="I226" t="s">
        <v>842</v>
      </c>
      <c r="J226">
        <v>2010</v>
      </c>
      <c r="K226" t="s">
        <v>855</v>
      </c>
      <c r="L226" t="s">
        <v>844</v>
      </c>
      <c r="M226" t="s">
        <v>848</v>
      </c>
      <c r="N226" t="s">
        <v>849</v>
      </c>
      <c r="O226" t="s">
        <v>844</v>
      </c>
      <c r="P226">
        <v>0</v>
      </c>
      <c r="Q226" t="s">
        <v>844</v>
      </c>
      <c r="R226">
        <v>275</v>
      </c>
      <c r="S226">
        <v>79</v>
      </c>
      <c r="T226">
        <v>0.410909090909091</v>
      </c>
      <c r="U226" s="7" t="s">
        <v>850</v>
      </c>
      <c r="V226">
        <v>113</v>
      </c>
      <c r="W226" s="7" t="s">
        <v>851</v>
      </c>
      <c r="X226">
        <v>13</v>
      </c>
      <c r="Y226" s="7" t="s">
        <v>873</v>
      </c>
    </row>
    <row r="227" spans="1:25" ht="45" x14ac:dyDescent="0.25">
      <c r="A227" t="s">
        <v>374</v>
      </c>
      <c r="B227">
        <v>2013</v>
      </c>
      <c r="C227" t="s">
        <v>804</v>
      </c>
      <c r="D227">
        <v>3</v>
      </c>
      <c r="E227">
        <v>3</v>
      </c>
      <c r="F227">
        <v>3</v>
      </c>
      <c r="G227">
        <v>775</v>
      </c>
      <c r="H227" t="s">
        <v>841</v>
      </c>
      <c r="I227" t="s">
        <v>842</v>
      </c>
      <c r="J227">
        <v>2011</v>
      </c>
      <c r="K227" t="s">
        <v>863</v>
      </c>
      <c r="L227" t="s">
        <v>844</v>
      </c>
      <c r="M227" t="s">
        <v>848</v>
      </c>
      <c r="N227" t="s">
        <v>849</v>
      </c>
      <c r="O227" t="s">
        <v>844</v>
      </c>
      <c r="P227">
        <v>0</v>
      </c>
      <c r="Q227" t="s">
        <v>844</v>
      </c>
      <c r="R227">
        <v>275</v>
      </c>
      <c r="S227">
        <v>79</v>
      </c>
      <c r="T227">
        <v>0.410909090909091</v>
      </c>
      <c r="U227" s="7" t="s">
        <v>850</v>
      </c>
      <c r="V227">
        <v>113</v>
      </c>
      <c r="W227" s="7" t="s">
        <v>851</v>
      </c>
      <c r="X227">
        <v>13</v>
      </c>
      <c r="Y227" s="7" t="s">
        <v>873</v>
      </c>
    </row>
    <row r="228" spans="1:25" ht="30" x14ac:dyDescent="0.25">
      <c r="A228" t="s">
        <v>376</v>
      </c>
      <c r="B228">
        <v>2013</v>
      </c>
      <c r="C228" t="s">
        <v>807</v>
      </c>
      <c r="D228">
        <v>3</v>
      </c>
      <c r="E228">
        <v>3</v>
      </c>
      <c r="F228">
        <v>3</v>
      </c>
      <c r="G228">
        <v>665</v>
      </c>
      <c r="H228" t="s">
        <v>841</v>
      </c>
      <c r="I228" t="s">
        <v>842</v>
      </c>
      <c r="J228">
        <v>2011</v>
      </c>
      <c r="K228" t="s">
        <v>863</v>
      </c>
      <c r="L228" t="s">
        <v>857</v>
      </c>
      <c r="M228" t="s">
        <v>807</v>
      </c>
      <c r="N228" t="s">
        <v>807</v>
      </c>
      <c r="O228">
        <v>323.35400399741297</v>
      </c>
      <c r="P228">
        <v>462.06941508429497</v>
      </c>
      <c r="Q228">
        <v>0.53</v>
      </c>
      <c r="R228">
        <v>275</v>
      </c>
      <c r="S228">
        <v>79</v>
      </c>
      <c r="T228">
        <v>0.28727272727272701</v>
      </c>
      <c r="U228" s="7" t="s">
        <v>858</v>
      </c>
      <c r="V228">
        <v>79</v>
      </c>
      <c r="W228" s="7" t="s">
        <v>858</v>
      </c>
      <c r="X228">
        <v>13</v>
      </c>
      <c r="Y228" s="7" t="s">
        <v>873</v>
      </c>
    </row>
    <row r="229" spans="1:25" ht="30" x14ac:dyDescent="0.25">
      <c r="A229" t="s">
        <v>816</v>
      </c>
      <c r="B229">
        <v>2013</v>
      </c>
      <c r="C229" t="s">
        <v>806</v>
      </c>
      <c r="D229">
        <v>3</v>
      </c>
      <c r="E229">
        <v>3</v>
      </c>
      <c r="F229">
        <v>3</v>
      </c>
      <c r="G229">
        <v>680</v>
      </c>
      <c r="H229" t="s">
        <v>859</v>
      </c>
      <c r="I229" t="s">
        <v>852</v>
      </c>
      <c r="J229">
        <v>2011</v>
      </c>
      <c r="K229" t="s">
        <v>863</v>
      </c>
      <c r="L229" t="s">
        <v>844</v>
      </c>
      <c r="M229" t="s">
        <v>845</v>
      </c>
      <c r="N229" t="s">
        <v>845</v>
      </c>
      <c r="O229" t="s">
        <v>844</v>
      </c>
      <c r="P229">
        <v>0</v>
      </c>
      <c r="Q229" t="s">
        <v>844</v>
      </c>
      <c r="R229">
        <v>275</v>
      </c>
      <c r="S229">
        <v>67</v>
      </c>
      <c r="T229">
        <v>0.24363636363636401</v>
      </c>
      <c r="U229" s="7" t="s">
        <v>846</v>
      </c>
      <c r="V229">
        <v>67</v>
      </c>
      <c r="W229" s="7" t="s">
        <v>846</v>
      </c>
      <c r="X229">
        <v>13</v>
      </c>
      <c r="Y229" s="7" t="s">
        <v>873</v>
      </c>
    </row>
    <row r="230" spans="1:25" ht="30" x14ac:dyDescent="0.25">
      <c r="A230" t="s">
        <v>817</v>
      </c>
      <c r="B230">
        <v>2013</v>
      </c>
      <c r="C230" t="s">
        <v>807</v>
      </c>
      <c r="D230">
        <v>4</v>
      </c>
      <c r="E230">
        <v>4</v>
      </c>
      <c r="F230">
        <v>4</v>
      </c>
      <c r="G230">
        <v>810</v>
      </c>
      <c r="H230" t="s">
        <v>841</v>
      </c>
      <c r="I230" t="s">
        <v>842</v>
      </c>
      <c r="J230">
        <v>2010</v>
      </c>
      <c r="K230" t="s">
        <v>855</v>
      </c>
      <c r="L230" t="s">
        <v>860</v>
      </c>
      <c r="M230" t="s">
        <v>807</v>
      </c>
      <c r="N230" t="s">
        <v>807</v>
      </c>
      <c r="O230">
        <v>510.669046497956</v>
      </c>
      <c r="P230">
        <v>616.845135819559</v>
      </c>
      <c r="Q230">
        <v>0.24</v>
      </c>
      <c r="R230">
        <v>275</v>
      </c>
      <c r="S230">
        <v>79</v>
      </c>
      <c r="T230">
        <v>0.28727272727272701</v>
      </c>
      <c r="U230" s="7" t="s">
        <v>858</v>
      </c>
      <c r="V230">
        <v>79</v>
      </c>
      <c r="W230" s="7" t="s">
        <v>858</v>
      </c>
      <c r="X230">
        <v>13</v>
      </c>
      <c r="Y230" s="7" t="s">
        <v>873</v>
      </c>
    </row>
    <row r="231" spans="1:25" ht="30" x14ac:dyDescent="0.25">
      <c r="A231" t="s">
        <v>532</v>
      </c>
      <c r="B231">
        <v>2014</v>
      </c>
      <c r="C231" t="s">
        <v>803</v>
      </c>
      <c r="D231">
        <v>3</v>
      </c>
      <c r="E231">
        <v>3</v>
      </c>
      <c r="F231">
        <v>3</v>
      </c>
      <c r="G231">
        <v>900</v>
      </c>
      <c r="H231" t="s">
        <v>841</v>
      </c>
      <c r="I231" t="s">
        <v>842</v>
      </c>
      <c r="J231">
        <v>2012</v>
      </c>
      <c r="K231" t="s">
        <v>855</v>
      </c>
      <c r="L231" t="s">
        <v>844</v>
      </c>
      <c r="M231" t="s">
        <v>845</v>
      </c>
      <c r="N231" t="s">
        <v>845</v>
      </c>
      <c r="O231" t="s">
        <v>844</v>
      </c>
      <c r="P231">
        <v>0</v>
      </c>
      <c r="Q231" t="s">
        <v>844</v>
      </c>
      <c r="R231">
        <v>275</v>
      </c>
      <c r="S231">
        <v>67</v>
      </c>
      <c r="T231">
        <v>0.24363636363636401</v>
      </c>
      <c r="U231" s="7" t="s">
        <v>846</v>
      </c>
      <c r="V231">
        <v>67</v>
      </c>
      <c r="W231" s="7" t="s">
        <v>846</v>
      </c>
      <c r="X231">
        <v>17</v>
      </c>
      <c r="Y231" s="7" t="s">
        <v>874</v>
      </c>
    </row>
    <row r="232" spans="1:25" ht="45" x14ac:dyDescent="0.25">
      <c r="A232" t="s">
        <v>534</v>
      </c>
      <c r="B232">
        <v>2014</v>
      </c>
      <c r="C232" t="s">
        <v>811</v>
      </c>
      <c r="D232">
        <v>4</v>
      </c>
      <c r="E232">
        <v>4</v>
      </c>
      <c r="F232">
        <v>4</v>
      </c>
      <c r="G232">
        <v>920</v>
      </c>
      <c r="H232" t="s">
        <v>859</v>
      </c>
      <c r="I232" t="s">
        <v>869</v>
      </c>
      <c r="J232">
        <v>2011</v>
      </c>
      <c r="K232" t="s">
        <v>863</v>
      </c>
      <c r="L232" t="s">
        <v>844</v>
      </c>
      <c r="M232" t="s">
        <v>848</v>
      </c>
      <c r="N232" t="s">
        <v>849</v>
      </c>
      <c r="O232" t="s">
        <v>844</v>
      </c>
      <c r="P232">
        <v>0</v>
      </c>
      <c r="Q232" t="s">
        <v>844</v>
      </c>
      <c r="R232">
        <v>275</v>
      </c>
      <c r="S232">
        <v>79</v>
      </c>
      <c r="T232">
        <v>0.410909090909091</v>
      </c>
      <c r="U232" s="7" t="s">
        <v>850</v>
      </c>
      <c r="V232">
        <v>113</v>
      </c>
      <c r="W232" s="7" t="s">
        <v>851</v>
      </c>
      <c r="X232">
        <v>17</v>
      </c>
      <c r="Y232" s="7" t="s">
        <v>874</v>
      </c>
    </row>
    <row r="233" spans="1:25" ht="45" x14ac:dyDescent="0.25">
      <c r="A233" t="s">
        <v>536</v>
      </c>
      <c r="B233">
        <v>2014</v>
      </c>
      <c r="C233" t="s">
        <v>810</v>
      </c>
      <c r="D233">
        <v>4</v>
      </c>
      <c r="E233">
        <v>4</v>
      </c>
      <c r="F233">
        <v>4</v>
      </c>
      <c r="G233">
        <v>925</v>
      </c>
      <c r="H233" t="s">
        <v>859</v>
      </c>
      <c r="I233" t="s">
        <v>842</v>
      </c>
      <c r="J233">
        <v>2011</v>
      </c>
      <c r="K233" t="s">
        <v>863</v>
      </c>
      <c r="L233" t="s">
        <v>844</v>
      </c>
      <c r="M233" t="s">
        <v>810</v>
      </c>
      <c r="N233" t="s">
        <v>810</v>
      </c>
      <c r="O233" t="s">
        <v>844</v>
      </c>
      <c r="P233">
        <v>0</v>
      </c>
      <c r="Q233" t="s">
        <v>844</v>
      </c>
      <c r="R233">
        <v>275</v>
      </c>
      <c r="S233">
        <v>16</v>
      </c>
      <c r="T233">
        <v>5.8181818181818203E-2</v>
      </c>
      <c r="U233" s="7" t="s">
        <v>861</v>
      </c>
      <c r="V233">
        <v>16</v>
      </c>
      <c r="W233" s="7" t="s">
        <v>861</v>
      </c>
      <c r="X233">
        <v>17</v>
      </c>
      <c r="Y233" s="7" t="s">
        <v>874</v>
      </c>
    </row>
    <row r="234" spans="1:25" ht="45" x14ac:dyDescent="0.25">
      <c r="A234" t="s">
        <v>538</v>
      </c>
      <c r="B234">
        <v>2014</v>
      </c>
      <c r="C234" t="s">
        <v>804</v>
      </c>
      <c r="D234">
        <v>3</v>
      </c>
      <c r="E234">
        <v>3</v>
      </c>
      <c r="F234">
        <v>3</v>
      </c>
      <c r="G234">
        <v>735</v>
      </c>
      <c r="H234" t="s">
        <v>841</v>
      </c>
      <c r="I234" t="s">
        <v>842</v>
      </c>
      <c r="J234">
        <v>2012</v>
      </c>
      <c r="K234" t="s">
        <v>855</v>
      </c>
      <c r="L234" t="s">
        <v>844</v>
      </c>
      <c r="M234" t="s">
        <v>848</v>
      </c>
      <c r="N234" t="s">
        <v>849</v>
      </c>
      <c r="O234" t="s">
        <v>844</v>
      </c>
      <c r="P234">
        <v>0</v>
      </c>
      <c r="Q234" t="s">
        <v>844</v>
      </c>
      <c r="R234">
        <v>275</v>
      </c>
      <c r="S234">
        <v>79</v>
      </c>
      <c r="T234">
        <v>0.410909090909091</v>
      </c>
      <c r="U234" s="7" t="s">
        <v>850</v>
      </c>
      <c r="V234">
        <v>113</v>
      </c>
      <c r="W234" s="7" t="s">
        <v>851</v>
      </c>
      <c r="X234">
        <v>17</v>
      </c>
      <c r="Y234" s="7" t="s">
        <v>874</v>
      </c>
    </row>
    <row r="235" spans="1:25" ht="45" x14ac:dyDescent="0.25">
      <c r="A235" t="s">
        <v>540</v>
      </c>
      <c r="B235">
        <v>2014</v>
      </c>
      <c r="C235" t="s">
        <v>804</v>
      </c>
      <c r="D235">
        <v>3</v>
      </c>
      <c r="E235">
        <v>3</v>
      </c>
      <c r="F235">
        <v>3</v>
      </c>
      <c r="G235">
        <v>680</v>
      </c>
      <c r="H235" t="s">
        <v>841</v>
      </c>
      <c r="I235" t="s">
        <v>842</v>
      </c>
      <c r="J235">
        <v>2012</v>
      </c>
      <c r="K235" t="s">
        <v>855</v>
      </c>
      <c r="L235" t="s">
        <v>844</v>
      </c>
      <c r="M235" t="s">
        <v>848</v>
      </c>
      <c r="N235" t="s">
        <v>849</v>
      </c>
      <c r="O235" t="s">
        <v>844</v>
      </c>
      <c r="P235">
        <v>0</v>
      </c>
      <c r="Q235" t="s">
        <v>844</v>
      </c>
      <c r="R235">
        <v>275</v>
      </c>
      <c r="S235">
        <v>79</v>
      </c>
      <c r="T235">
        <v>0.410909090909091</v>
      </c>
      <c r="U235" s="7" t="s">
        <v>850</v>
      </c>
      <c r="V235">
        <v>113</v>
      </c>
      <c r="W235" s="7" t="s">
        <v>851</v>
      </c>
      <c r="X235">
        <v>17</v>
      </c>
      <c r="Y235" s="7" t="s">
        <v>874</v>
      </c>
    </row>
    <row r="236" spans="1:25" ht="30" x14ac:dyDescent="0.25">
      <c r="A236" t="s">
        <v>542</v>
      </c>
      <c r="B236">
        <v>2014</v>
      </c>
      <c r="C236" t="s">
        <v>803</v>
      </c>
      <c r="D236">
        <v>4</v>
      </c>
      <c r="E236">
        <v>4</v>
      </c>
      <c r="F236">
        <v>4</v>
      </c>
      <c r="G236" t="s">
        <v>844</v>
      </c>
      <c r="H236" t="s">
        <v>852</v>
      </c>
      <c r="I236" t="s">
        <v>852</v>
      </c>
      <c r="J236">
        <v>2011</v>
      </c>
      <c r="K236" t="s">
        <v>863</v>
      </c>
      <c r="L236" t="s">
        <v>844</v>
      </c>
      <c r="M236" t="s">
        <v>845</v>
      </c>
      <c r="N236" t="s">
        <v>845</v>
      </c>
      <c r="O236" t="s">
        <v>844</v>
      </c>
      <c r="P236">
        <v>0</v>
      </c>
      <c r="Q236" t="s">
        <v>844</v>
      </c>
      <c r="R236">
        <v>275</v>
      </c>
      <c r="S236">
        <v>67</v>
      </c>
      <c r="T236">
        <v>0.24363636363636401</v>
      </c>
      <c r="U236" s="7" t="s">
        <v>846</v>
      </c>
      <c r="V236">
        <v>67</v>
      </c>
      <c r="W236" s="7" t="s">
        <v>846</v>
      </c>
      <c r="X236">
        <v>17</v>
      </c>
      <c r="Y236" s="7" t="s">
        <v>874</v>
      </c>
    </row>
    <row r="237" spans="1:25" ht="30" x14ac:dyDescent="0.25">
      <c r="A237" t="s">
        <v>544</v>
      </c>
      <c r="B237">
        <v>2014</v>
      </c>
      <c r="C237" t="s">
        <v>803</v>
      </c>
      <c r="D237">
        <v>3</v>
      </c>
      <c r="E237">
        <v>3</v>
      </c>
      <c r="F237">
        <v>3</v>
      </c>
      <c r="G237">
        <v>775</v>
      </c>
      <c r="H237" t="s">
        <v>841</v>
      </c>
      <c r="I237" t="s">
        <v>842</v>
      </c>
      <c r="J237">
        <v>2012</v>
      </c>
      <c r="K237" t="s">
        <v>855</v>
      </c>
      <c r="L237" t="s">
        <v>844</v>
      </c>
      <c r="M237" t="s">
        <v>845</v>
      </c>
      <c r="N237" t="s">
        <v>845</v>
      </c>
      <c r="O237" t="s">
        <v>844</v>
      </c>
      <c r="P237">
        <v>0</v>
      </c>
      <c r="Q237" t="s">
        <v>844</v>
      </c>
      <c r="R237">
        <v>275</v>
      </c>
      <c r="S237">
        <v>67</v>
      </c>
      <c r="T237">
        <v>0.24363636363636401</v>
      </c>
      <c r="U237" s="7" t="s">
        <v>846</v>
      </c>
      <c r="V237">
        <v>67</v>
      </c>
      <c r="W237" s="7" t="s">
        <v>846</v>
      </c>
      <c r="X237">
        <v>17</v>
      </c>
      <c r="Y237" s="7" t="s">
        <v>874</v>
      </c>
    </row>
    <row r="238" spans="1:25" ht="30" x14ac:dyDescent="0.25">
      <c r="A238" t="s">
        <v>546</v>
      </c>
      <c r="B238">
        <v>2014</v>
      </c>
      <c r="C238" t="s">
        <v>806</v>
      </c>
      <c r="D238">
        <v>3</v>
      </c>
      <c r="E238">
        <v>3</v>
      </c>
      <c r="F238">
        <v>3</v>
      </c>
      <c r="G238" t="s">
        <v>844</v>
      </c>
      <c r="H238" t="s">
        <v>852</v>
      </c>
      <c r="I238" t="s">
        <v>852</v>
      </c>
      <c r="J238">
        <v>2012</v>
      </c>
      <c r="K238" t="s">
        <v>855</v>
      </c>
      <c r="L238" t="s">
        <v>844</v>
      </c>
      <c r="M238" t="s">
        <v>845</v>
      </c>
      <c r="N238" t="s">
        <v>845</v>
      </c>
      <c r="O238" t="s">
        <v>844</v>
      </c>
      <c r="P238">
        <v>0</v>
      </c>
      <c r="Q238" t="s">
        <v>844</v>
      </c>
      <c r="R238">
        <v>275</v>
      </c>
      <c r="S238">
        <v>67</v>
      </c>
      <c r="T238">
        <v>0.24363636363636401</v>
      </c>
      <c r="U238" s="7" t="s">
        <v>846</v>
      </c>
      <c r="V238">
        <v>67</v>
      </c>
      <c r="W238" s="7" t="s">
        <v>846</v>
      </c>
      <c r="X238">
        <v>17</v>
      </c>
      <c r="Y238" s="7" t="s">
        <v>874</v>
      </c>
    </row>
    <row r="239" spans="1:25" ht="45" x14ac:dyDescent="0.25">
      <c r="A239" t="s">
        <v>548</v>
      </c>
      <c r="B239">
        <v>2014</v>
      </c>
      <c r="C239" t="s">
        <v>810</v>
      </c>
      <c r="D239">
        <v>4</v>
      </c>
      <c r="E239">
        <v>4</v>
      </c>
      <c r="F239">
        <v>4</v>
      </c>
      <c r="G239" t="s">
        <v>844</v>
      </c>
      <c r="H239" t="s">
        <v>859</v>
      </c>
      <c r="I239" t="s">
        <v>852</v>
      </c>
      <c r="J239">
        <v>2011</v>
      </c>
      <c r="K239" t="s">
        <v>863</v>
      </c>
      <c r="L239" t="s">
        <v>844</v>
      </c>
      <c r="M239" t="s">
        <v>810</v>
      </c>
      <c r="N239" t="s">
        <v>810</v>
      </c>
      <c r="O239" t="s">
        <v>844</v>
      </c>
      <c r="P239">
        <v>0</v>
      </c>
      <c r="Q239" t="s">
        <v>844</v>
      </c>
      <c r="R239">
        <v>275</v>
      </c>
      <c r="S239">
        <v>16</v>
      </c>
      <c r="T239">
        <v>5.8181818181818203E-2</v>
      </c>
      <c r="U239" s="7" t="s">
        <v>861</v>
      </c>
      <c r="V239">
        <v>16</v>
      </c>
      <c r="W239" s="7" t="s">
        <v>861</v>
      </c>
      <c r="X239">
        <v>17</v>
      </c>
      <c r="Y239" s="7" t="s">
        <v>874</v>
      </c>
    </row>
    <row r="240" spans="1:25" ht="45" x14ac:dyDescent="0.25">
      <c r="A240" t="s">
        <v>550</v>
      </c>
      <c r="B240">
        <v>2014</v>
      </c>
      <c r="C240" t="s">
        <v>811</v>
      </c>
      <c r="D240">
        <v>4</v>
      </c>
      <c r="E240">
        <v>4</v>
      </c>
      <c r="F240">
        <v>4</v>
      </c>
      <c r="G240">
        <v>785</v>
      </c>
      <c r="H240" t="s">
        <v>841</v>
      </c>
      <c r="I240" t="s">
        <v>842</v>
      </c>
      <c r="J240">
        <v>2011</v>
      </c>
      <c r="K240" t="s">
        <v>863</v>
      </c>
      <c r="L240" t="s">
        <v>844</v>
      </c>
      <c r="M240" t="s">
        <v>848</v>
      </c>
      <c r="N240" t="s">
        <v>849</v>
      </c>
      <c r="O240" t="s">
        <v>844</v>
      </c>
      <c r="P240">
        <v>0</v>
      </c>
      <c r="Q240" t="s">
        <v>844</v>
      </c>
      <c r="R240">
        <v>275</v>
      </c>
      <c r="S240">
        <v>79</v>
      </c>
      <c r="T240">
        <v>0.410909090909091</v>
      </c>
      <c r="U240" s="7" t="s">
        <v>850</v>
      </c>
      <c r="V240">
        <v>113</v>
      </c>
      <c r="W240" s="7" t="s">
        <v>851</v>
      </c>
      <c r="X240">
        <v>17</v>
      </c>
      <c r="Y240" s="7" t="s">
        <v>874</v>
      </c>
    </row>
    <row r="241" spans="1:25" ht="30" x14ac:dyDescent="0.25">
      <c r="A241" t="s">
        <v>552</v>
      </c>
      <c r="B241">
        <v>2014</v>
      </c>
      <c r="C241" t="s">
        <v>806</v>
      </c>
      <c r="D241">
        <v>3</v>
      </c>
      <c r="E241">
        <v>3</v>
      </c>
      <c r="F241">
        <v>3</v>
      </c>
      <c r="G241">
        <v>770</v>
      </c>
      <c r="H241" t="s">
        <v>859</v>
      </c>
      <c r="I241" t="s">
        <v>852</v>
      </c>
      <c r="J241">
        <v>2012</v>
      </c>
      <c r="K241" t="s">
        <v>855</v>
      </c>
      <c r="L241" t="s">
        <v>844</v>
      </c>
      <c r="M241" t="s">
        <v>845</v>
      </c>
      <c r="N241" t="s">
        <v>845</v>
      </c>
      <c r="O241" t="s">
        <v>844</v>
      </c>
      <c r="P241">
        <v>0</v>
      </c>
      <c r="Q241" t="s">
        <v>844</v>
      </c>
      <c r="R241">
        <v>275</v>
      </c>
      <c r="S241">
        <v>67</v>
      </c>
      <c r="T241">
        <v>0.24363636363636401</v>
      </c>
      <c r="U241" s="7" t="s">
        <v>846</v>
      </c>
      <c r="V241">
        <v>67</v>
      </c>
      <c r="W241" s="7" t="s">
        <v>846</v>
      </c>
      <c r="X241">
        <v>17</v>
      </c>
      <c r="Y241" s="7" t="s">
        <v>874</v>
      </c>
    </row>
    <row r="242" spans="1:25" ht="30" x14ac:dyDescent="0.25">
      <c r="A242" t="s">
        <v>554</v>
      </c>
      <c r="B242">
        <v>2014</v>
      </c>
      <c r="C242" t="s">
        <v>807</v>
      </c>
      <c r="D242">
        <v>3</v>
      </c>
      <c r="E242">
        <v>3</v>
      </c>
      <c r="F242">
        <v>3</v>
      </c>
      <c r="G242">
        <v>870</v>
      </c>
      <c r="H242" t="s">
        <v>841</v>
      </c>
      <c r="I242" t="s">
        <v>852</v>
      </c>
      <c r="J242">
        <v>2012</v>
      </c>
      <c r="K242" t="s">
        <v>855</v>
      </c>
      <c r="L242" t="s">
        <v>860</v>
      </c>
      <c r="M242" t="s">
        <v>807</v>
      </c>
      <c r="N242" t="s">
        <v>807</v>
      </c>
      <c r="O242">
        <v>486.526312157495</v>
      </c>
      <c r="P242">
        <v>586.74197425606803</v>
      </c>
      <c r="Q242">
        <v>0.28999999999999998</v>
      </c>
      <c r="R242">
        <v>275</v>
      </c>
      <c r="S242">
        <v>79</v>
      </c>
      <c r="T242">
        <v>0.28727272727272701</v>
      </c>
      <c r="U242" s="7" t="s">
        <v>858</v>
      </c>
      <c r="V242">
        <v>79</v>
      </c>
      <c r="W242" s="7" t="s">
        <v>858</v>
      </c>
      <c r="X242">
        <v>17</v>
      </c>
      <c r="Y242" s="7" t="s">
        <v>874</v>
      </c>
    </row>
    <row r="243" spans="1:25" ht="45" x14ac:dyDescent="0.25">
      <c r="A243" t="s">
        <v>556</v>
      </c>
      <c r="B243">
        <v>2014</v>
      </c>
      <c r="C243" t="s">
        <v>809</v>
      </c>
      <c r="D243">
        <v>3</v>
      </c>
      <c r="E243">
        <v>3</v>
      </c>
      <c r="F243">
        <v>3</v>
      </c>
      <c r="G243">
        <v>790</v>
      </c>
      <c r="H243" t="s">
        <v>841</v>
      </c>
      <c r="I243" t="s">
        <v>842</v>
      </c>
      <c r="J243">
        <v>2012</v>
      </c>
      <c r="K243" t="s">
        <v>855</v>
      </c>
      <c r="L243" t="s">
        <v>844</v>
      </c>
      <c r="M243" t="s">
        <v>853</v>
      </c>
      <c r="N243" t="s">
        <v>849</v>
      </c>
      <c r="O243" t="s">
        <v>844</v>
      </c>
      <c r="P243">
        <v>0</v>
      </c>
      <c r="Q243" t="s">
        <v>844</v>
      </c>
      <c r="R243">
        <v>275</v>
      </c>
      <c r="S243">
        <v>34</v>
      </c>
      <c r="T243">
        <v>0.410909090909091</v>
      </c>
      <c r="U243" s="7" t="s">
        <v>854</v>
      </c>
      <c r="V243">
        <v>113</v>
      </c>
      <c r="W243" s="7" t="s">
        <v>851</v>
      </c>
      <c r="X243">
        <v>17</v>
      </c>
      <c r="Y243" s="7" t="s">
        <v>874</v>
      </c>
    </row>
    <row r="244" spans="1:25" ht="30" x14ac:dyDescent="0.25">
      <c r="A244" t="s">
        <v>558</v>
      </c>
      <c r="B244">
        <v>2014</v>
      </c>
      <c r="C244" t="s">
        <v>807</v>
      </c>
      <c r="D244">
        <v>4</v>
      </c>
      <c r="E244">
        <v>4</v>
      </c>
      <c r="F244">
        <v>4</v>
      </c>
      <c r="G244">
        <v>800</v>
      </c>
      <c r="H244" t="s">
        <v>841</v>
      </c>
      <c r="I244" t="s">
        <v>842</v>
      </c>
      <c r="J244">
        <v>2011</v>
      </c>
      <c r="K244" t="s">
        <v>863</v>
      </c>
      <c r="L244" t="s">
        <v>860</v>
      </c>
      <c r="M244" t="s">
        <v>807</v>
      </c>
      <c r="N244" t="s">
        <v>807</v>
      </c>
      <c r="O244">
        <v>425.95754981911602</v>
      </c>
      <c r="P244">
        <v>533.88768617360904</v>
      </c>
      <c r="Q244">
        <v>0.46</v>
      </c>
      <c r="R244">
        <v>275</v>
      </c>
      <c r="S244">
        <v>79</v>
      </c>
      <c r="T244">
        <v>0.28727272727272701</v>
      </c>
      <c r="U244" s="7" t="s">
        <v>858</v>
      </c>
      <c r="V244">
        <v>79</v>
      </c>
      <c r="W244" s="7" t="s">
        <v>858</v>
      </c>
      <c r="X244">
        <v>17</v>
      </c>
      <c r="Y244" s="7" t="s">
        <v>874</v>
      </c>
    </row>
    <row r="245" spans="1:25" ht="45" x14ac:dyDescent="0.25">
      <c r="A245" t="s">
        <v>560</v>
      </c>
      <c r="B245">
        <v>2014</v>
      </c>
      <c r="C245" t="s">
        <v>809</v>
      </c>
      <c r="D245">
        <v>3</v>
      </c>
      <c r="E245">
        <v>3</v>
      </c>
      <c r="F245">
        <v>3</v>
      </c>
      <c r="G245">
        <v>815</v>
      </c>
      <c r="H245" t="s">
        <v>859</v>
      </c>
      <c r="I245" t="s">
        <v>842</v>
      </c>
      <c r="J245">
        <v>2012</v>
      </c>
      <c r="K245" t="s">
        <v>855</v>
      </c>
      <c r="L245" t="s">
        <v>844</v>
      </c>
      <c r="M245" t="s">
        <v>853</v>
      </c>
      <c r="N245" t="s">
        <v>849</v>
      </c>
      <c r="O245" t="s">
        <v>844</v>
      </c>
      <c r="P245">
        <v>0</v>
      </c>
      <c r="Q245" t="s">
        <v>844</v>
      </c>
      <c r="R245">
        <v>275</v>
      </c>
      <c r="S245">
        <v>34</v>
      </c>
      <c r="T245">
        <v>0.410909090909091</v>
      </c>
      <c r="U245" s="7" t="s">
        <v>854</v>
      </c>
      <c r="V245">
        <v>113</v>
      </c>
      <c r="W245" s="7" t="s">
        <v>851</v>
      </c>
      <c r="X245">
        <v>17</v>
      </c>
      <c r="Y245" s="7" t="s">
        <v>874</v>
      </c>
    </row>
    <row r="246" spans="1:25" ht="30" x14ac:dyDescent="0.25">
      <c r="A246" t="s">
        <v>562</v>
      </c>
      <c r="B246">
        <v>2014</v>
      </c>
      <c r="C246" t="s">
        <v>807</v>
      </c>
      <c r="D246">
        <v>3</v>
      </c>
      <c r="E246">
        <v>3</v>
      </c>
      <c r="F246">
        <v>3</v>
      </c>
      <c r="G246" t="s">
        <v>844</v>
      </c>
      <c r="H246" t="s">
        <v>852</v>
      </c>
      <c r="I246" t="s">
        <v>852</v>
      </c>
      <c r="J246">
        <v>2012</v>
      </c>
      <c r="K246" t="s">
        <v>855</v>
      </c>
      <c r="L246" t="s">
        <v>860</v>
      </c>
      <c r="M246" t="s">
        <v>807</v>
      </c>
      <c r="N246" t="s">
        <v>807</v>
      </c>
      <c r="O246">
        <v>524.22372680077603</v>
      </c>
      <c r="P246">
        <v>690.82805997615196</v>
      </c>
      <c r="Q246">
        <v>0.43</v>
      </c>
      <c r="R246">
        <v>275</v>
      </c>
      <c r="S246">
        <v>79</v>
      </c>
      <c r="T246">
        <v>0.28727272727272701</v>
      </c>
      <c r="U246" s="7" t="s">
        <v>858</v>
      </c>
      <c r="V246">
        <v>79</v>
      </c>
      <c r="W246" s="7" t="s">
        <v>858</v>
      </c>
      <c r="X246">
        <v>17</v>
      </c>
      <c r="Y246" s="7" t="s">
        <v>874</v>
      </c>
    </row>
    <row r="247" spans="1:25" ht="45" x14ac:dyDescent="0.25">
      <c r="A247" t="s">
        <v>564</v>
      </c>
      <c r="B247">
        <v>2014</v>
      </c>
      <c r="C247" t="s">
        <v>810</v>
      </c>
      <c r="D247">
        <v>3</v>
      </c>
      <c r="E247">
        <v>3</v>
      </c>
      <c r="F247">
        <v>3</v>
      </c>
      <c r="G247" t="s">
        <v>844</v>
      </c>
      <c r="H247" t="s">
        <v>852</v>
      </c>
      <c r="I247" t="s">
        <v>852</v>
      </c>
      <c r="J247">
        <v>2012</v>
      </c>
      <c r="K247" t="s">
        <v>855</v>
      </c>
      <c r="L247" t="s">
        <v>844</v>
      </c>
      <c r="M247" t="s">
        <v>810</v>
      </c>
      <c r="N247" t="s">
        <v>810</v>
      </c>
      <c r="O247" t="s">
        <v>844</v>
      </c>
      <c r="P247">
        <v>0</v>
      </c>
      <c r="Q247" t="s">
        <v>844</v>
      </c>
      <c r="R247">
        <v>275</v>
      </c>
      <c r="S247">
        <v>16</v>
      </c>
      <c r="T247">
        <v>5.8181818181818203E-2</v>
      </c>
      <c r="U247" s="7" t="s">
        <v>861</v>
      </c>
      <c r="V247">
        <v>16</v>
      </c>
      <c r="W247" s="7" t="s">
        <v>861</v>
      </c>
      <c r="X247">
        <v>17</v>
      </c>
      <c r="Y247" s="7" t="s">
        <v>874</v>
      </c>
    </row>
    <row r="248" spans="1:25" ht="30" x14ac:dyDescent="0.25">
      <c r="A248" t="s">
        <v>570</v>
      </c>
      <c r="B248">
        <v>2015</v>
      </c>
      <c r="C248" t="s">
        <v>807</v>
      </c>
      <c r="D248">
        <v>3</v>
      </c>
      <c r="E248">
        <v>3</v>
      </c>
      <c r="F248">
        <v>3</v>
      </c>
      <c r="G248">
        <v>940</v>
      </c>
      <c r="H248" t="s">
        <v>841</v>
      </c>
      <c r="I248" t="s">
        <v>842</v>
      </c>
      <c r="J248">
        <v>2013</v>
      </c>
      <c r="K248" t="s">
        <v>864</v>
      </c>
      <c r="L248" t="s">
        <v>860</v>
      </c>
      <c r="M248" t="s">
        <v>807</v>
      </c>
      <c r="N248" t="s">
        <v>807</v>
      </c>
      <c r="O248">
        <v>659.25632233010106</v>
      </c>
      <c r="P248">
        <v>746.56181890470498</v>
      </c>
      <c r="Q248">
        <v>0.17</v>
      </c>
      <c r="R248">
        <v>275</v>
      </c>
      <c r="S248">
        <v>79</v>
      </c>
      <c r="T248">
        <v>0.28727272727272701</v>
      </c>
      <c r="U248" s="7" t="s">
        <v>858</v>
      </c>
      <c r="V248">
        <v>79</v>
      </c>
      <c r="W248" s="7" t="s">
        <v>858</v>
      </c>
      <c r="X248">
        <v>3</v>
      </c>
      <c r="Y248" s="7" t="s">
        <v>875</v>
      </c>
    </row>
    <row r="249" spans="1:25" ht="45" x14ac:dyDescent="0.25">
      <c r="A249" t="s">
        <v>568</v>
      </c>
      <c r="B249">
        <v>2015</v>
      </c>
      <c r="C249" t="s">
        <v>804</v>
      </c>
      <c r="D249">
        <v>3</v>
      </c>
      <c r="E249">
        <v>3</v>
      </c>
      <c r="F249">
        <v>3</v>
      </c>
      <c r="G249">
        <v>839</v>
      </c>
      <c r="H249" t="s">
        <v>841</v>
      </c>
      <c r="I249" t="s">
        <v>842</v>
      </c>
      <c r="J249">
        <v>2013</v>
      </c>
      <c r="K249" t="s">
        <v>864</v>
      </c>
      <c r="L249" t="s">
        <v>844</v>
      </c>
      <c r="M249" t="s">
        <v>848</v>
      </c>
      <c r="N249" t="s">
        <v>849</v>
      </c>
      <c r="O249" t="s">
        <v>844</v>
      </c>
      <c r="P249">
        <v>0</v>
      </c>
      <c r="Q249" t="s">
        <v>844</v>
      </c>
      <c r="R249">
        <v>275</v>
      </c>
      <c r="S249">
        <v>79</v>
      </c>
      <c r="T249">
        <v>0.410909090909091</v>
      </c>
      <c r="U249" s="7" t="s">
        <v>850</v>
      </c>
      <c r="V249">
        <v>113</v>
      </c>
      <c r="W249" s="7" t="s">
        <v>851</v>
      </c>
      <c r="X249">
        <v>3</v>
      </c>
      <c r="Y249" s="7" t="s">
        <v>875</v>
      </c>
    </row>
    <row r="250" spans="1:25" ht="30" x14ac:dyDescent="0.25">
      <c r="A250" t="s">
        <v>572</v>
      </c>
      <c r="B250">
        <v>2015</v>
      </c>
      <c r="C250" t="s">
        <v>807</v>
      </c>
      <c r="D250">
        <v>4</v>
      </c>
      <c r="E250">
        <v>4</v>
      </c>
      <c r="F250">
        <v>4</v>
      </c>
      <c r="G250">
        <v>820</v>
      </c>
      <c r="H250" t="s">
        <v>841</v>
      </c>
      <c r="I250" t="s">
        <v>842</v>
      </c>
      <c r="J250">
        <v>2012</v>
      </c>
      <c r="K250" t="s">
        <v>855</v>
      </c>
      <c r="L250" t="s">
        <v>857</v>
      </c>
      <c r="M250" t="s">
        <v>807</v>
      </c>
      <c r="N250" t="s">
        <v>807</v>
      </c>
      <c r="O250">
        <v>388.96437842900599</v>
      </c>
      <c r="P250">
        <v>478.88395245703703</v>
      </c>
      <c r="Q250">
        <v>0.38</v>
      </c>
      <c r="R250">
        <v>275</v>
      </c>
      <c r="S250">
        <v>79</v>
      </c>
      <c r="T250">
        <v>0.28727272727272701</v>
      </c>
      <c r="U250" s="7" t="s">
        <v>858</v>
      </c>
      <c r="V250">
        <v>79</v>
      </c>
      <c r="W250" s="7" t="s">
        <v>858</v>
      </c>
      <c r="X250">
        <v>3</v>
      </c>
      <c r="Y250" s="7" t="s">
        <v>875</v>
      </c>
    </row>
    <row r="251" spans="1:25" ht="30" x14ac:dyDescent="0.25">
      <c r="A251" t="s">
        <v>304</v>
      </c>
      <c r="B251">
        <v>2016</v>
      </c>
      <c r="C251" t="s">
        <v>806</v>
      </c>
      <c r="D251">
        <v>3</v>
      </c>
      <c r="E251">
        <v>3</v>
      </c>
      <c r="F251">
        <v>3</v>
      </c>
      <c r="G251" t="s">
        <v>844</v>
      </c>
      <c r="H251" t="s">
        <v>841</v>
      </c>
      <c r="I251" t="s">
        <v>842</v>
      </c>
      <c r="J251">
        <v>2014</v>
      </c>
      <c r="K251" t="s">
        <v>867</v>
      </c>
      <c r="L251" t="s">
        <v>844</v>
      </c>
      <c r="M251" t="s">
        <v>845</v>
      </c>
      <c r="N251" t="s">
        <v>845</v>
      </c>
      <c r="O251" t="s">
        <v>844</v>
      </c>
      <c r="P251">
        <v>0</v>
      </c>
      <c r="Q251" t="s">
        <v>844</v>
      </c>
      <c r="R251">
        <v>275</v>
      </c>
      <c r="S251">
        <v>67</v>
      </c>
      <c r="T251">
        <v>0.24363636363636401</v>
      </c>
      <c r="U251" s="7" t="s">
        <v>846</v>
      </c>
      <c r="V251">
        <v>67</v>
      </c>
      <c r="W251" s="7" t="s">
        <v>846</v>
      </c>
      <c r="X251">
        <v>1</v>
      </c>
      <c r="Y251" s="7" t="s">
        <v>876</v>
      </c>
    </row>
    <row r="252" spans="1:25" ht="45" x14ac:dyDescent="0.25">
      <c r="A252" t="s">
        <v>306</v>
      </c>
      <c r="B252">
        <v>2018</v>
      </c>
      <c r="C252" t="s">
        <v>818</v>
      </c>
      <c r="D252">
        <v>3</v>
      </c>
      <c r="E252">
        <v>3</v>
      </c>
      <c r="F252">
        <v>3</v>
      </c>
      <c r="G252">
        <v>710</v>
      </c>
      <c r="H252" t="s">
        <v>841</v>
      </c>
      <c r="I252" t="s">
        <v>842</v>
      </c>
      <c r="J252">
        <v>2016</v>
      </c>
      <c r="K252" t="s">
        <v>855</v>
      </c>
      <c r="L252" t="s">
        <v>844</v>
      </c>
      <c r="M252" t="s">
        <v>848</v>
      </c>
      <c r="N252" t="s">
        <v>849</v>
      </c>
      <c r="O252" t="s">
        <v>844</v>
      </c>
      <c r="P252">
        <v>0</v>
      </c>
      <c r="Q252" t="s">
        <v>844</v>
      </c>
      <c r="R252">
        <v>275</v>
      </c>
      <c r="S252">
        <v>79</v>
      </c>
      <c r="T252">
        <v>0.410909090909091</v>
      </c>
      <c r="U252" s="7" t="s">
        <v>850</v>
      </c>
      <c r="V252">
        <v>113</v>
      </c>
      <c r="W252" s="7" t="s">
        <v>851</v>
      </c>
      <c r="X252">
        <v>4</v>
      </c>
      <c r="Y252" s="7" t="s">
        <v>877</v>
      </c>
    </row>
    <row r="253" spans="1:25" ht="30" x14ac:dyDescent="0.25">
      <c r="A253" t="s">
        <v>308</v>
      </c>
      <c r="B253">
        <v>2018</v>
      </c>
      <c r="C253" t="s">
        <v>807</v>
      </c>
      <c r="D253">
        <v>4</v>
      </c>
      <c r="E253">
        <v>4</v>
      </c>
      <c r="F253">
        <v>4</v>
      </c>
      <c r="G253">
        <v>825</v>
      </c>
      <c r="H253" t="s">
        <v>859</v>
      </c>
      <c r="I253" t="s">
        <v>842</v>
      </c>
      <c r="J253">
        <v>2015</v>
      </c>
      <c r="K253" t="s">
        <v>867</v>
      </c>
      <c r="L253" t="s">
        <v>860</v>
      </c>
      <c r="M253" t="s">
        <v>807</v>
      </c>
      <c r="N253" t="s">
        <v>807</v>
      </c>
      <c r="O253">
        <v>467.93207050810099</v>
      </c>
      <c r="P253">
        <v>590.57592700661303</v>
      </c>
      <c r="Q253">
        <v>0.42</v>
      </c>
      <c r="R253">
        <v>275</v>
      </c>
      <c r="S253">
        <v>79</v>
      </c>
      <c r="T253">
        <v>0.28727272727272701</v>
      </c>
      <c r="U253" s="7" t="s">
        <v>858</v>
      </c>
      <c r="V253">
        <v>79</v>
      </c>
      <c r="W253" s="7" t="s">
        <v>858</v>
      </c>
      <c r="X253">
        <v>4</v>
      </c>
      <c r="Y253" s="7" t="s">
        <v>877</v>
      </c>
    </row>
    <row r="254" spans="1:25" ht="30" x14ac:dyDescent="0.25">
      <c r="A254" t="s">
        <v>312</v>
      </c>
      <c r="B254">
        <v>2018</v>
      </c>
      <c r="C254" t="s">
        <v>807</v>
      </c>
      <c r="D254" t="s">
        <v>844</v>
      </c>
      <c r="E254" t="s">
        <v>844</v>
      </c>
      <c r="F254" t="s">
        <v>844</v>
      </c>
      <c r="G254">
        <v>900</v>
      </c>
      <c r="H254" t="s">
        <v>859</v>
      </c>
      <c r="I254" t="s">
        <v>842</v>
      </c>
      <c r="J254" t="s">
        <v>844</v>
      </c>
      <c r="K254" t="s">
        <v>844</v>
      </c>
      <c r="L254" t="s">
        <v>857</v>
      </c>
      <c r="M254" t="s">
        <v>807</v>
      </c>
      <c r="N254" t="s">
        <v>807</v>
      </c>
      <c r="O254">
        <v>397.60099379563599</v>
      </c>
      <c r="P254">
        <v>496.60729767439602</v>
      </c>
      <c r="Q254">
        <v>0.46</v>
      </c>
      <c r="R254">
        <v>275</v>
      </c>
      <c r="S254">
        <v>79</v>
      </c>
      <c r="T254">
        <v>0.28727272727272701</v>
      </c>
      <c r="U254" s="7" t="s">
        <v>858</v>
      </c>
      <c r="V254">
        <v>79</v>
      </c>
      <c r="W254" s="7" t="s">
        <v>858</v>
      </c>
      <c r="X254">
        <v>4</v>
      </c>
      <c r="Y254" s="7" t="s">
        <v>877</v>
      </c>
    </row>
    <row r="255" spans="1:25" ht="30" x14ac:dyDescent="0.25">
      <c r="A255" t="s">
        <v>310</v>
      </c>
      <c r="B255">
        <v>2018</v>
      </c>
      <c r="C255" t="s">
        <v>807</v>
      </c>
      <c r="D255">
        <v>3</v>
      </c>
      <c r="E255">
        <v>3</v>
      </c>
      <c r="F255">
        <v>3</v>
      </c>
      <c r="G255" t="s">
        <v>844</v>
      </c>
      <c r="H255" t="s">
        <v>859</v>
      </c>
      <c r="I255" t="s">
        <v>842</v>
      </c>
      <c r="J255">
        <v>2016</v>
      </c>
      <c r="K255" t="s">
        <v>855</v>
      </c>
      <c r="L255" t="s">
        <v>860</v>
      </c>
      <c r="M255" t="s">
        <v>807</v>
      </c>
      <c r="N255" t="s">
        <v>807</v>
      </c>
      <c r="O255">
        <v>484.23147690297299</v>
      </c>
      <c r="P255">
        <v>566.01709512463003</v>
      </c>
      <c r="Q255">
        <v>0.28999999999999998</v>
      </c>
      <c r="R255">
        <v>275</v>
      </c>
      <c r="S255">
        <v>79</v>
      </c>
      <c r="T255">
        <v>0.28727272727272701</v>
      </c>
      <c r="U255" s="7" t="s">
        <v>858</v>
      </c>
      <c r="V255">
        <v>79</v>
      </c>
      <c r="W255" s="7" t="s">
        <v>858</v>
      </c>
      <c r="X255">
        <v>4</v>
      </c>
      <c r="Y255" s="7" t="s">
        <v>877</v>
      </c>
    </row>
    <row r="256" spans="1:25" ht="45" x14ac:dyDescent="0.25">
      <c r="A256" t="s">
        <v>316</v>
      </c>
      <c r="B256">
        <v>2019</v>
      </c>
      <c r="C256" t="s">
        <v>804</v>
      </c>
      <c r="D256">
        <v>3</v>
      </c>
      <c r="E256">
        <v>3</v>
      </c>
      <c r="F256">
        <v>3</v>
      </c>
      <c r="G256">
        <v>820</v>
      </c>
      <c r="H256" t="s">
        <v>859</v>
      </c>
      <c r="I256" t="s">
        <v>842</v>
      </c>
      <c r="J256">
        <v>2017</v>
      </c>
      <c r="K256" t="s">
        <v>863</v>
      </c>
      <c r="L256" t="s">
        <v>844</v>
      </c>
      <c r="M256" t="s">
        <v>848</v>
      </c>
      <c r="N256" t="s">
        <v>849</v>
      </c>
      <c r="O256" t="s">
        <v>844</v>
      </c>
      <c r="P256">
        <v>0</v>
      </c>
      <c r="Q256" t="s">
        <v>844</v>
      </c>
      <c r="R256">
        <v>275</v>
      </c>
      <c r="S256">
        <v>79</v>
      </c>
      <c r="T256">
        <v>0.410909090909091</v>
      </c>
      <c r="U256" s="7" t="s">
        <v>850</v>
      </c>
      <c r="V256">
        <v>113</v>
      </c>
      <c r="W256" s="7" t="s">
        <v>851</v>
      </c>
      <c r="X256">
        <v>2</v>
      </c>
      <c r="Y256" s="7" t="s">
        <v>878</v>
      </c>
    </row>
    <row r="257" spans="1:25" ht="45" x14ac:dyDescent="0.25">
      <c r="A257" t="s">
        <v>314</v>
      </c>
      <c r="B257">
        <v>2019</v>
      </c>
      <c r="C257" t="s">
        <v>804</v>
      </c>
      <c r="D257">
        <v>3</v>
      </c>
      <c r="E257">
        <v>3</v>
      </c>
      <c r="F257">
        <v>3</v>
      </c>
      <c r="G257">
        <v>625</v>
      </c>
      <c r="H257" t="s">
        <v>841</v>
      </c>
      <c r="I257" t="s">
        <v>842</v>
      </c>
      <c r="J257">
        <v>2017</v>
      </c>
      <c r="K257" t="s">
        <v>863</v>
      </c>
      <c r="L257" t="s">
        <v>844</v>
      </c>
      <c r="M257" t="s">
        <v>848</v>
      </c>
      <c r="N257" t="s">
        <v>849</v>
      </c>
      <c r="O257" t="s">
        <v>844</v>
      </c>
      <c r="P257">
        <v>0</v>
      </c>
      <c r="Q257" t="s">
        <v>844</v>
      </c>
      <c r="R257">
        <v>275</v>
      </c>
      <c r="S257">
        <v>79</v>
      </c>
      <c r="T257">
        <v>0.410909090909091</v>
      </c>
      <c r="U257" s="7" t="s">
        <v>850</v>
      </c>
      <c r="V257">
        <v>113</v>
      </c>
      <c r="W257" s="7" t="s">
        <v>851</v>
      </c>
      <c r="X257">
        <v>2</v>
      </c>
      <c r="Y257" s="7" t="s">
        <v>878</v>
      </c>
    </row>
    <row r="258" spans="1:25" ht="45" x14ac:dyDescent="0.25">
      <c r="A258" t="s">
        <v>318</v>
      </c>
      <c r="B258">
        <v>2020</v>
      </c>
      <c r="C258" t="s">
        <v>809</v>
      </c>
      <c r="D258">
        <v>2</v>
      </c>
      <c r="E258">
        <v>2</v>
      </c>
      <c r="F258">
        <v>2</v>
      </c>
      <c r="G258">
        <v>460</v>
      </c>
      <c r="H258" t="s">
        <v>859</v>
      </c>
      <c r="I258" t="s">
        <v>852</v>
      </c>
      <c r="J258">
        <v>2019</v>
      </c>
      <c r="K258" t="s">
        <v>863</v>
      </c>
      <c r="L258" t="s">
        <v>844</v>
      </c>
      <c r="M258" t="s">
        <v>853</v>
      </c>
      <c r="N258" t="s">
        <v>849</v>
      </c>
      <c r="O258" t="s">
        <v>844</v>
      </c>
      <c r="P258">
        <v>0</v>
      </c>
      <c r="Q258" t="s">
        <v>844</v>
      </c>
      <c r="R258">
        <v>275</v>
      </c>
      <c r="S258">
        <v>34</v>
      </c>
      <c r="T258">
        <v>0.410909090909091</v>
      </c>
      <c r="U258" s="7" t="s">
        <v>854</v>
      </c>
      <c r="V258">
        <v>113</v>
      </c>
      <c r="W258" s="7" t="s">
        <v>851</v>
      </c>
      <c r="X258">
        <v>1</v>
      </c>
      <c r="Y258" s="7" t="s">
        <v>879</v>
      </c>
    </row>
    <row r="259" spans="1:25" ht="45" x14ac:dyDescent="0.25">
      <c r="A259" t="s">
        <v>320</v>
      </c>
      <c r="B259">
        <v>2021</v>
      </c>
      <c r="C259" t="s">
        <v>805</v>
      </c>
      <c r="D259">
        <v>3</v>
      </c>
      <c r="E259">
        <v>3</v>
      </c>
      <c r="F259">
        <v>3</v>
      </c>
      <c r="G259">
        <v>750</v>
      </c>
      <c r="H259" t="s">
        <v>841</v>
      </c>
      <c r="I259" t="s">
        <v>869</v>
      </c>
      <c r="J259">
        <v>2019</v>
      </c>
      <c r="K259" t="s">
        <v>863</v>
      </c>
      <c r="L259" t="s">
        <v>844</v>
      </c>
      <c r="M259" t="s">
        <v>853</v>
      </c>
      <c r="N259" t="s">
        <v>849</v>
      </c>
      <c r="O259" t="s">
        <v>844</v>
      </c>
      <c r="P259">
        <v>0</v>
      </c>
      <c r="Q259" t="s">
        <v>844</v>
      </c>
      <c r="R259">
        <v>275</v>
      </c>
      <c r="S259">
        <v>34</v>
      </c>
      <c r="T259">
        <v>0.410909090909091</v>
      </c>
      <c r="U259" s="7" t="s">
        <v>854</v>
      </c>
      <c r="V259">
        <v>113</v>
      </c>
      <c r="W259" s="7" t="s">
        <v>851</v>
      </c>
      <c r="X259">
        <v>18</v>
      </c>
      <c r="Y259" s="7" t="s">
        <v>880</v>
      </c>
    </row>
    <row r="260" spans="1:25" ht="45" x14ac:dyDescent="0.25">
      <c r="A260" t="s">
        <v>322</v>
      </c>
      <c r="B260">
        <v>2021</v>
      </c>
      <c r="C260" t="s">
        <v>804</v>
      </c>
      <c r="D260">
        <v>3</v>
      </c>
      <c r="E260">
        <v>3</v>
      </c>
      <c r="F260">
        <v>3</v>
      </c>
      <c r="G260">
        <v>860</v>
      </c>
      <c r="H260" t="s">
        <v>841</v>
      </c>
      <c r="I260" t="s">
        <v>869</v>
      </c>
      <c r="J260">
        <v>2019</v>
      </c>
      <c r="K260" t="s">
        <v>863</v>
      </c>
      <c r="L260" t="s">
        <v>844</v>
      </c>
      <c r="M260" t="s">
        <v>848</v>
      </c>
      <c r="N260" t="s">
        <v>849</v>
      </c>
      <c r="O260" t="s">
        <v>844</v>
      </c>
      <c r="P260">
        <v>0</v>
      </c>
      <c r="Q260" t="s">
        <v>844</v>
      </c>
      <c r="R260">
        <v>275</v>
      </c>
      <c r="S260">
        <v>79</v>
      </c>
      <c r="T260">
        <v>0.410909090909091</v>
      </c>
      <c r="U260" s="7" t="s">
        <v>850</v>
      </c>
      <c r="V260">
        <v>113</v>
      </c>
      <c r="W260" s="7" t="s">
        <v>851</v>
      </c>
      <c r="X260">
        <v>18</v>
      </c>
      <c r="Y260" s="7" t="s">
        <v>880</v>
      </c>
    </row>
    <row r="261" spans="1:25" ht="45" x14ac:dyDescent="0.25">
      <c r="A261" t="s">
        <v>324</v>
      </c>
      <c r="B261">
        <v>2021</v>
      </c>
      <c r="C261" t="s">
        <v>810</v>
      </c>
      <c r="D261">
        <v>3</v>
      </c>
      <c r="E261">
        <v>3</v>
      </c>
      <c r="F261">
        <v>3</v>
      </c>
      <c r="G261">
        <v>740</v>
      </c>
      <c r="H261" t="s">
        <v>841</v>
      </c>
      <c r="I261" t="s">
        <v>869</v>
      </c>
      <c r="J261">
        <v>2019</v>
      </c>
      <c r="K261" t="s">
        <v>863</v>
      </c>
      <c r="L261" t="s">
        <v>844</v>
      </c>
      <c r="M261" t="s">
        <v>810</v>
      </c>
      <c r="N261" t="s">
        <v>810</v>
      </c>
      <c r="O261" t="s">
        <v>844</v>
      </c>
      <c r="P261">
        <v>0</v>
      </c>
      <c r="Q261" t="s">
        <v>844</v>
      </c>
      <c r="R261">
        <v>275</v>
      </c>
      <c r="S261">
        <v>16</v>
      </c>
      <c r="T261">
        <v>5.8181818181818203E-2</v>
      </c>
      <c r="U261" s="7" t="s">
        <v>861</v>
      </c>
      <c r="V261">
        <v>16</v>
      </c>
      <c r="W261" s="7" t="s">
        <v>861</v>
      </c>
      <c r="X261">
        <v>18</v>
      </c>
      <c r="Y261" s="7" t="s">
        <v>880</v>
      </c>
    </row>
    <row r="262" spans="1:25" ht="45" x14ac:dyDescent="0.25">
      <c r="A262" t="s">
        <v>326</v>
      </c>
      <c r="B262">
        <v>2021</v>
      </c>
      <c r="C262" t="s">
        <v>805</v>
      </c>
      <c r="D262" t="s">
        <v>844</v>
      </c>
      <c r="E262" t="s">
        <v>844</v>
      </c>
      <c r="F262" t="s">
        <v>844</v>
      </c>
      <c r="G262">
        <v>820</v>
      </c>
      <c r="H262" t="s">
        <v>859</v>
      </c>
      <c r="I262" t="s">
        <v>869</v>
      </c>
      <c r="J262" t="s">
        <v>844</v>
      </c>
      <c r="K262" t="s">
        <v>844</v>
      </c>
      <c r="L262" t="s">
        <v>844</v>
      </c>
      <c r="M262" t="s">
        <v>853</v>
      </c>
      <c r="N262" t="s">
        <v>849</v>
      </c>
      <c r="O262" t="s">
        <v>844</v>
      </c>
      <c r="P262">
        <v>0</v>
      </c>
      <c r="Q262" t="s">
        <v>844</v>
      </c>
      <c r="R262">
        <v>275</v>
      </c>
      <c r="S262">
        <v>34</v>
      </c>
      <c r="T262">
        <v>0.410909090909091</v>
      </c>
      <c r="U262" s="7" t="s">
        <v>854</v>
      </c>
      <c r="V262">
        <v>113</v>
      </c>
      <c r="W262" s="7" t="s">
        <v>851</v>
      </c>
      <c r="X262">
        <v>18</v>
      </c>
      <c r="Y262" s="7" t="s">
        <v>880</v>
      </c>
    </row>
    <row r="263" spans="1:25" ht="45" x14ac:dyDescent="0.25">
      <c r="A263" t="s">
        <v>328</v>
      </c>
      <c r="B263">
        <v>2021</v>
      </c>
      <c r="C263" t="s">
        <v>809</v>
      </c>
      <c r="D263">
        <v>3</v>
      </c>
      <c r="E263">
        <v>3</v>
      </c>
      <c r="F263">
        <v>3</v>
      </c>
      <c r="G263">
        <v>780</v>
      </c>
      <c r="H263" t="s">
        <v>841</v>
      </c>
      <c r="I263" t="s">
        <v>869</v>
      </c>
      <c r="J263">
        <v>2019</v>
      </c>
      <c r="K263" t="s">
        <v>863</v>
      </c>
      <c r="L263" t="s">
        <v>844</v>
      </c>
      <c r="M263" t="s">
        <v>853</v>
      </c>
      <c r="N263" t="s">
        <v>849</v>
      </c>
      <c r="O263" t="s">
        <v>844</v>
      </c>
      <c r="P263">
        <v>0</v>
      </c>
      <c r="Q263" t="s">
        <v>844</v>
      </c>
      <c r="R263">
        <v>275</v>
      </c>
      <c r="S263">
        <v>34</v>
      </c>
      <c r="T263">
        <v>0.410909090909091</v>
      </c>
      <c r="U263" s="7" t="s">
        <v>854</v>
      </c>
      <c r="V263">
        <v>113</v>
      </c>
      <c r="W263" s="7" t="s">
        <v>851</v>
      </c>
      <c r="X263">
        <v>18</v>
      </c>
      <c r="Y263" s="7" t="s">
        <v>880</v>
      </c>
    </row>
    <row r="264" spans="1:25" ht="45" x14ac:dyDescent="0.25">
      <c r="A264" t="s">
        <v>330</v>
      </c>
      <c r="B264">
        <v>2021</v>
      </c>
      <c r="C264" t="s">
        <v>809</v>
      </c>
      <c r="D264" t="s">
        <v>844</v>
      </c>
      <c r="E264" t="s">
        <v>844</v>
      </c>
      <c r="F264" t="s">
        <v>844</v>
      </c>
      <c r="G264">
        <v>760</v>
      </c>
      <c r="H264" t="s">
        <v>859</v>
      </c>
      <c r="I264" t="s">
        <v>869</v>
      </c>
      <c r="J264" t="s">
        <v>844</v>
      </c>
      <c r="K264" t="s">
        <v>844</v>
      </c>
      <c r="L264" t="s">
        <v>844</v>
      </c>
      <c r="M264" t="s">
        <v>853</v>
      </c>
      <c r="N264" t="s">
        <v>849</v>
      </c>
      <c r="O264" t="s">
        <v>844</v>
      </c>
      <c r="P264">
        <v>0</v>
      </c>
      <c r="Q264" t="s">
        <v>844</v>
      </c>
      <c r="R264">
        <v>275</v>
      </c>
      <c r="S264">
        <v>34</v>
      </c>
      <c r="T264">
        <v>0.410909090909091</v>
      </c>
      <c r="U264" s="7" t="s">
        <v>854</v>
      </c>
      <c r="V264">
        <v>113</v>
      </c>
      <c r="W264" s="7" t="s">
        <v>851</v>
      </c>
      <c r="X264">
        <v>18</v>
      </c>
      <c r="Y264" s="7" t="s">
        <v>880</v>
      </c>
    </row>
    <row r="265" spans="1:25" ht="45" x14ac:dyDescent="0.25">
      <c r="A265" t="s">
        <v>332</v>
      </c>
      <c r="B265">
        <v>2021</v>
      </c>
      <c r="C265" t="s">
        <v>804</v>
      </c>
      <c r="D265">
        <v>3</v>
      </c>
      <c r="E265">
        <v>3</v>
      </c>
      <c r="F265">
        <v>3</v>
      </c>
      <c r="G265">
        <v>910</v>
      </c>
      <c r="H265" t="s">
        <v>859</v>
      </c>
      <c r="I265" t="s">
        <v>869</v>
      </c>
      <c r="J265">
        <v>2019</v>
      </c>
      <c r="K265" t="s">
        <v>863</v>
      </c>
      <c r="L265" t="s">
        <v>844</v>
      </c>
      <c r="M265" t="s">
        <v>848</v>
      </c>
      <c r="N265" t="s">
        <v>849</v>
      </c>
      <c r="O265" t="s">
        <v>844</v>
      </c>
      <c r="P265">
        <v>0</v>
      </c>
      <c r="Q265" t="s">
        <v>844</v>
      </c>
      <c r="R265">
        <v>275</v>
      </c>
      <c r="S265">
        <v>79</v>
      </c>
      <c r="T265">
        <v>0.410909090909091</v>
      </c>
      <c r="U265" s="7" t="s">
        <v>850</v>
      </c>
      <c r="V265">
        <v>113</v>
      </c>
      <c r="W265" s="7" t="s">
        <v>851</v>
      </c>
      <c r="X265">
        <v>18</v>
      </c>
      <c r="Y265" s="7" t="s">
        <v>880</v>
      </c>
    </row>
    <row r="266" spans="1:25" ht="45" x14ac:dyDescent="0.25">
      <c r="A266" t="s">
        <v>334</v>
      </c>
      <c r="B266">
        <v>2021</v>
      </c>
      <c r="C266" t="s">
        <v>809</v>
      </c>
      <c r="D266">
        <v>3</v>
      </c>
      <c r="E266">
        <v>3</v>
      </c>
      <c r="F266">
        <v>3</v>
      </c>
      <c r="G266">
        <v>720</v>
      </c>
      <c r="H266" t="s">
        <v>841</v>
      </c>
      <c r="I266" t="s">
        <v>869</v>
      </c>
      <c r="J266">
        <v>2019</v>
      </c>
      <c r="K266" t="s">
        <v>863</v>
      </c>
      <c r="L266" t="s">
        <v>844</v>
      </c>
      <c r="M266" t="s">
        <v>853</v>
      </c>
      <c r="N266" t="s">
        <v>849</v>
      </c>
      <c r="O266" t="s">
        <v>844</v>
      </c>
      <c r="P266">
        <v>0</v>
      </c>
      <c r="Q266" t="s">
        <v>844</v>
      </c>
      <c r="R266">
        <v>275</v>
      </c>
      <c r="S266">
        <v>34</v>
      </c>
      <c r="T266">
        <v>0.410909090909091</v>
      </c>
      <c r="U266" s="7" t="s">
        <v>854</v>
      </c>
      <c r="V266">
        <v>113</v>
      </c>
      <c r="W266" s="7" t="s">
        <v>851</v>
      </c>
      <c r="X266">
        <v>18</v>
      </c>
      <c r="Y266" s="7" t="s">
        <v>880</v>
      </c>
    </row>
    <row r="267" spans="1:25" ht="45" x14ac:dyDescent="0.25">
      <c r="A267" t="s">
        <v>336</v>
      </c>
      <c r="B267">
        <v>2021</v>
      </c>
      <c r="C267" t="s">
        <v>804</v>
      </c>
      <c r="D267">
        <v>3</v>
      </c>
      <c r="E267">
        <v>3</v>
      </c>
      <c r="F267">
        <v>3</v>
      </c>
      <c r="G267">
        <v>690</v>
      </c>
      <c r="H267" t="s">
        <v>841</v>
      </c>
      <c r="I267" t="s">
        <v>869</v>
      </c>
      <c r="J267">
        <v>2019</v>
      </c>
      <c r="K267" t="s">
        <v>863</v>
      </c>
      <c r="L267" t="s">
        <v>844</v>
      </c>
      <c r="M267" t="s">
        <v>848</v>
      </c>
      <c r="N267" t="s">
        <v>849</v>
      </c>
      <c r="O267" t="s">
        <v>844</v>
      </c>
      <c r="P267">
        <v>0</v>
      </c>
      <c r="Q267" t="s">
        <v>844</v>
      </c>
      <c r="R267">
        <v>275</v>
      </c>
      <c r="S267">
        <v>79</v>
      </c>
      <c r="T267">
        <v>0.410909090909091</v>
      </c>
      <c r="U267" s="7" t="s">
        <v>850</v>
      </c>
      <c r="V267">
        <v>113</v>
      </c>
      <c r="W267" s="7" t="s">
        <v>851</v>
      </c>
      <c r="X267">
        <v>18</v>
      </c>
      <c r="Y267" s="7" t="s">
        <v>880</v>
      </c>
    </row>
    <row r="268" spans="1:25" ht="45" x14ac:dyDescent="0.25">
      <c r="A268" t="s">
        <v>338</v>
      </c>
      <c r="B268">
        <v>2021</v>
      </c>
      <c r="C268" t="s">
        <v>804</v>
      </c>
      <c r="D268">
        <v>3</v>
      </c>
      <c r="E268">
        <v>3</v>
      </c>
      <c r="F268">
        <v>3</v>
      </c>
      <c r="G268">
        <v>660</v>
      </c>
      <c r="H268" t="s">
        <v>841</v>
      </c>
      <c r="I268" t="s">
        <v>869</v>
      </c>
      <c r="J268">
        <v>2019</v>
      </c>
      <c r="K268" t="s">
        <v>863</v>
      </c>
      <c r="L268" t="s">
        <v>844</v>
      </c>
      <c r="M268" t="s">
        <v>848</v>
      </c>
      <c r="N268" t="s">
        <v>849</v>
      </c>
      <c r="O268" t="s">
        <v>844</v>
      </c>
      <c r="P268">
        <v>0</v>
      </c>
      <c r="Q268" t="s">
        <v>844</v>
      </c>
      <c r="R268">
        <v>275</v>
      </c>
      <c r="S268">
        <v>79</v>
      </c>
      <c r="T268">
        <v>0.410909090909091</v>
      </c>
      <c r="U268" s="7" t="s">
        <v>850</v>
      </c>
      <c r="V268">
        <v>113</v>
      </c>
      <c r="W268" s="7" t="s">
        <v>851</v>
      </c>
      <c r="X268">
        <v>18</v>
      </c>
      <c r="Y268" s="7" t="s">
        <v>880</v>
      </c>
    </row>
    <row r="269" spans="1:25" ht="45" x14ac:dyDescent="0.25">
      <c r="A269" t="s">
        <v>340</v>
      </c>
      <c r="B269">
        <v>2021</v>
      </c>
      <c r="C269" t="s">
        <v>804</v>
      </c>
      <c r="D269">
        <v>2</v>
      </c>
      <c r="E269">
        <v>2</v>
      </c>
      <c r="F269">
        <v>2</v>
      </c>
      <c r="G269">
        <v>560</v>
      </c>
      <c r="H269" t="s">
        <v>859</v>
      </c>
      <c r="I269" t="s">
        <v>869</v>
      </c>
      <c r="J269">
        <v>2020</v>
      </c>
      <c r="K269" t="s">
        <v>864</v>
      </c>
      <c r="L269" t="s">
        <v>844</v>
      </c>
      <c r="M269" t="s">
        <v>848</v>
      </c>
      <c r="N269" t="s">
        <v>849</v>
      </c>
      <c r="O269" t="s">
        <v>844</v>
      </c>
      <c r="P269">
        <v>0</v>
      </c>
      <c r="Q269" t="s">
        <v>844</v>
      </c>
      <c r="R269">
        <v>275</v>
      </c>
      <c r="S269">
        <v>79</v>
      </c>
      <c r="T269">
        <v>0.410909090909091</v>
      </c>
      <c r="U269" s="7" t="s">
        <v>850</v>
      </c>
      <c r="V269">
        <v>113</v>
      </c>
      <c r="W269" s="7" t="s">
        <v>851</v>
      </c>
      <c r="X269">
        <v>18</v>
      </c>
      <c r="Y269" s="7" t="s">
        <v>880</v>
      </c>
    </row>
    <row r="270" spans="1:25" ht="30" x14ac:dyDescent="0.25">
      <c r="A270" t="s">
        <v>342</v>
      </c>
      <c r="B270">
        <v>2021</v>
      </c>
      <c r="C270" t="s">
        <v>807</v>
      </c>
      <c r="D270">
        <v>4</v>
      </c>
      <c r="E270">
        <v>4</v>
      </c>
      <c r="F270">
        <v>4</v>
      </c>
      <c r="G270">
        <v>840</v>
      </c>
      <c r="H270" t="s">
        <v>852</v>
      </c>
      <c r="I270" t="s">
        <v>842</v>
      </c>
      <c r="J270">
        <v>2018</v>
      </c>
      <c r="K270" t="s">
        <v>855</v>
      </c>
      <c r="L270" t="s">
        <v>860</v>
      </c>
      <c r="M270" t="s">
        <v>807</v>
      </c>
      <c r="N270" t="s">
        <v>807</v>
      </c>
      <c r="O270">
        <v>578.841936217117</v>
      </c>
      <c r="P270">
        <v>668.04995064127104</v>
      </c>
      <c r="Q270">
        <v>0.24</v>
      </c>
      <c r="R270">
        <v>275</v>
      </c>
      <c r="S270">
        <v>79</v>
      </c>
      <c r="T270">
        <v>0.28727272727272701</v>
      </c>
      <c r="U270" s="7" t="s">
        <v>858</v>
      </c>
      <c r="V270">
        <v>79</v>
      </c>
      <c r="W270" s="7" t="s">
        <v>858</v>
      </c>
      <c r="X270">
        <v>18</v>
      </c>
      <c r="Y270" s="7" t="s">
        <v>880</v>
      </c>
    </row>
    <row r="271" spans="1:25" ht="30" x14ac:dyDescent="0.25">
      <c r="A271" t="s">
        <v>344</v>
      </c>
      <c r="B271">
        <v>2021</v>
      </c>
      <c r="C271" t="s">
        <v>806</v>
      </c>
      <c r="D271">
        <v>3</v>
      </c>
      <c r="E271">
        <v>3</v>
      </c>
      <c r="F271">
        <v>3</v>
      </c>
      <c r="G271" t="s">
        <v>844</v>
      </c>
      <c r="H271" t="s">
        <v>841</v>
      </c>
      <c r="I271" t="s">
        <v>869</v>
      </c>
      <c r="J271">
        <v>2019</v>
      </c>
      <c r="K271" t="s">
        <v>863</v>
      </c>
      <c r="L271" t="s">
        <v>844</v>
      </c>
      <c r="M271" t="s">
        <v>845</v>
      </c>
      <c r="N271" t="s">
        <v>845</v>
      </c>
      <c r="O271" t="s">
        <v>844</v>
      </c>
      <c r="P271">
        <v>0</v>
      </c>
      <c r="Q271" t="s">
        <v>844</v>
      </c>
      <c r="R271">
        <v>275</v>
      </c>
      <c r="S271">
        <v>67</v>
      </c>
      <c r="T271">
        <v>0.24363636363636401</v>
      </c>
      <c r="U271" s="7" t="s">
        <v>846</v>
      </c>
      <c r="V271">
        <v>67</v>
      </c>
      <c r="W271" s="7" t="s">
        <v>846</v>
      </c>
      <c r="X271">
        <v>18</v>
      </c>
      <c r="Y271" s="7" t="s">
        <v>880</v>
      </c>
    </row>
    <row r="272" spans="1:25" ht="45" x14ac:dyDescent="0.25">
      <c r="A272" t="s">
        <v>346</v>
      </c>
      <c r="B272">
        <v>2021</v>
      </c>
      <c r="C272" t="s">
        <v>804</v>
      </c>
      <c r="D272">
        <v>3</v>
      </c>
      <c r="E272">
        <v>3</v>
      </c>
      <c r="F272">
        <v>3</v>
      </c>
      <c r="G272">
        <v>800</v>
      </c>
      <c r="H272" t="s">
        <v>852</v>
      </c>
      <c r="I272" t="s">
        <v>869</v>
      </c>
      <c r="J272">
        <v>2019</v>
      </c>
      <c r="K272" t="s">
        <v>863</v>
      </c>
      <c r="L272" t="s">
        <v>844</v>
      </c>
      <c r="M272" t="s">
        <v>848</v>
      </c>
      <c r="N272" t="s">
        <v>849</v>
      </c>
      <c r="O272" t="s">
        <v>844</v>
      </c>
      <c r="P272">
        <v>0</v>
      </c>
      <c r="Q272" t="s">
        <v>844</v>
      </c>
      <c r="R272">
        <v>275</v>
      </c>
      <c r="S272">
        <v>79</v>
      </c>
      <c r="T272">
        <v>0.410909090909091</v>
      </c>
      <c r="U272" s="7" t="s">
        <v>850</v>
      </c>
      <c r="V272">
        <v>113</v>
      </c>
      <c r="W272" s="7" t="s">
        <v>851</v>
      </c>
      <c r="X272">
        <v>18</v>
      </c>
      <c r="Y272" s="7" t="s">
        <v>880</v>
      </c>
    </row>
    <row r="273" spans="1:25" ht="45" x14ac:dyDescent="0.25">
      <c r="A273" t="s">
        <v>348</v>
      </c>
      <c r="B273">
        <v>2021</v>
      </c>
      <c r="C273" t="s">
        <v>804</v>
      </c>
      <c r="D273">
        <v>3</v>
      </c>
      <c r="E273">
        <v>3</v>
      </c>
      <c r="F273">
        <v>3</v>
      </c>
      <c r="G273">
        <v>730</v>
      </c>
      <c r="H273" t="s">
        <v>852</v>
      </c>
      <c r="I273" t="s">
        <v>869</v>
      </c>
      <c r="J273">
        <v>2019</v>
      </c>
      <c r="K273" t="s">
        <v>863</v>
      </c>
      <c r="L273" t="s">
        <v>844</v>
      </c>
      <c r="M273" t="s">
        <v>848</v>
      </c>
      <c r="N273" t="s">
        <v>849</v>
      </c>
      <c r="O273" t="s">
        <v>844</v>
      </c>
      <c r="P273">
        <v>0</v>
      </c>
      <c r="Q273" t="s">
        <v>844</v>
      </c>
      <c r="R273">
        <v>275</v>
      </c>
      <c r="S273">
        <v>79</v>
      </c>
      <c r="T273">
        <v>0.410909090909091</v>
      </c>
      <c r="U273" s="7" t="s">
        <v>850</v>
      </c>
      <c r="V273">
        <v>113</v>
      </c>
      <c r="W273" s="7" t="s">
        <v>851</v>
      </c>
      <c r="X273">
        <v>18</v>
      </c>
      <c r="Y273" s="7" t="s">
        <v>880</v>
      </c>
    </row>
    <row r="274" spans="1:25" ht="45" x14ac:dyDescent="0.25">
      <c r="A274" t="s">
        <v>350</v>
      </c>
      <c r="B274">
        <v>2021</v>
      </c>
      <c r="C274" t="s">
        <v>804</v>
      </c>
      <c r="D274">
        <v>3</v>
      </c>
      <c r="E274">
        <v>3</v>
      </c>
      <c r="F274">
        <v>3</v>
      </c>
      <c r="G274" t="s">
        <v>844</v>
      </c>
      <c r="H274" t="s">
        <v>852</v>
      </c>
      <c r="I274" t="s">
        <v>852</v>
      </c>
      <c r="J274">
        <v>2019</v>
      </c>
      <c r="K274" t="s">
        <v>863</v>
      </c>
      <c r="L274" t="s">
        <v>844</v>
      </c>
      <c r="M274" t="s">
        <v>848</v>
      </c>
      <c r="N274" t="s">
        <v>849</v>
      </c>
      <c r="O274" t="s">
        <v>844</v>
      </c>
      <c r="P274">
        <v>0</v>
      </c>
      <c r="Q274" t="s">
        <v>844</v>
      </c>
      <c r="R274">
        <v>275</v>
      </c>
      <c r="S274">
        <v>79</v>
      </c>
      <c r="T274">
        <v>0.410909090909091</v>
      </c>
      <c r="U274" s="7" t="s">
        <v>850</v>
      </c>
      <c r="V274">
        <v>113</v>
      </c>
      <c r="W274" s="7" t="s">
        <v>851</v>
      </c>
      <c r="X274">
        <v>18</v>
      </c>
      <c r="Y274" s="7" t="s">
        <v>880</v>
      </c>
    </row>
    <row r="275" spans="1:25" ht="30" x14ac:dyDescent="0.25">
      <c r="A275" t="s">
        <v>352</v>
      </c>
      <c r="B275">
        <v>2021</v>
      </c>
      <c r="C275" t="s">
        <v>803</v>
      </c>
      <c r="D275">
        <v>2</v>
      </c>
      <c r="E275">
        <v>2</v>
      </c>
      <c r="F275">
        <v>2</v>
      </c>
      <c r="G275">
        <v>540</v>
      </c>
      <c r="H275" t="s">
        <v>841</v>
      </c>
      <c r="I275" t="s">
        <v>842</v>
      </c>
      <c r="J275">
        <v>2020</v>
      </c>
      <c r="K275" t="s">
        <v>864</v>
      </c>
      <c r="L275" t="s">
        <v>844</v>
      </c>
      <c r="M275" t="s">
        <v>845</v>
      </c>
      <c r="N275" t="s">
        <v>845</v>
      </c>
      <c r="O275" t="s">
        <v>844</v>
      </c>
      <c r="P275">
        <v>0</v>
      </c>
      <c r="Q275" t="s">
        <v>844</v>
      </c>
      <c r="R275">
        <v>275</v>
      </c>
      <c r="S275">
        <v>67</v>
      </c>
      <c r="T275">
        <v>0.24363636363636401</v>
      </c>
      <c r="U275" s="7" t="s">
        <v>846</v>
      </c>
      <c r="V275">
        <v>67</v>
      </c>
      <c r="W275" s="7" t="s">
        <v>846</v>
      </c>
      <c r="X275">
        <v>18</v>
      </c>
      <c r="Y275" s="7" t="s">
        <v>880</v>
      </c>
    </row>
    <row r="276" spans="1:25" ht="45" x14ac:dyDescent="0.25">
      <c r="A276" t="s">
        <v>354</v>
      </c>
      <c r="B276">
        <v>2021</v>
      </c>
      <c r="C276" t="s">
        <v>804</v>
      </c>
      <c r="D276">
        <v>3</v>
      </c>
      <c r="E276">
        <v>3</v>
      </c>
      <c r="F276">
        <v>3</v>
      </c>
      <c r="G276">
        <v>740</v>
      </c>
      <c r="H276" t="s">
        <v>841</v>
      </c>
      <c r="I276" t="s">
        <v>842</v>
      </c>
      <c r="J276">
        <v>2019</v>
      </c>
      <c r="K276" t="s">
        <v>863</v>
      </c>
      <c r="L276" t="s">
        <v>844</v>
      </c>
      <c r="M276" t="s">
        <v>848</v>
      </c>
      <c r="N276" t="s">
        <v>849</v>
      </c>
      <c r="O276" t="s">
        <v>844</v>
      </c>
      <c r="P276">
        <v>0</v>
      </c>
      <c r="Q276" t="s">
        <v>844</v>
      </c>
      <c r="R276">
        <v>275</v>
      </c>
      <c r="S276">
        <v>79</v>
      </c>
      <c r="T276">
        <v>0.410909090909091</v>
      </c>
      <c r="U276" s="7" t="s">
        <v>850</v>
      </c>
      <c r="V276">
        <v>113</v>
      </c>
      <c r="W276" s="7" t="s">
        <v>851</v>
      </c>
      <c r="X276">
        <v>18</v>
      </c>
      <c r="Y276" s="7" t="s">
        <v>880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42E1-CB94-480D-B12F-49B0DC469D5A}">
  <dimension ref="A1:A24"/>
  <sheetViews>
    <sheetView workbookViewId="0">
      <selection activeCell="C8" sqref="C8"/>
    </sheetView>
  </sheetViews>
  <sheetFormatPr defaultRowHeight="15" x14ac:dyDescent="0.25"/>
  <sheetData>
    <row r="1" spans="1:1" x14ac:dyDescent="0.25">
      <c r="A1" t="s">
        <v>780</v>
      </c>
    </row>
    <row r="3" spans="1:1" x14ac:dyDescent="0.25">
      <c r="A3" t="s">
        <v>781</v>
      </c>
    </row>
    <row r="4" spans="1:1" x14ac:dyDescent="0.25">
      <c r="A4" t="s">
        <v>782</v>
      </c>
    </row>
    <row r="5" spans="1:1" x14ac:dyDescent="0.25">
      <c r="A5" t="s">
        <v>783</v>
      </c>
    </row>
    <row r="6" spans="1:1" x14ac:dyDescent="0.25">
      <c r="A6" t="s">
        <v>784</v>
      </c>
    </row>
    <row r="7" spans="1:1" x14ac:dyDescent="0.25">
      <c r="A7" t="s">
        <v>785</v>
      </c>
    </row>
    <row r="9" spans="1:1" x14ac:dyDescent="0.25">
      <c r="A9" t="s">
        <v>800</v>
      </c>
    </row>
    <row r="10" spans="1:1" x14ac:dyDescent="0.25">
      <c r="A10" s="5" t="s">
        <v>786</v>
      </c>
    </row>
    <row r="11" spans="1:1" x14ac:dyDescent="0.25">
      <c r="A11" s="5" t="s">
        <v>787</v>
      </c>
    </row>
    <row r="12" spans="1:1" x14ac:dyDescent="0.25">
      <c r="A12" s="5" t="s">
        <v>788</v>
      </c>
    </row>
    <row r="13" spans="1:1" x14ac:dyDescent="0.25">
      <c r="A13" s="5" t="s">
        <v>789</v>
      </c>
    </row>
    <row r="14" spans="1:1" x14ac:dyDescent="0.25">
      <c r="A14" s="5" t="s">
        <v>790</v>
      </c>
    </row>
    <row r="15" spans="1:1" x14ac:dyDescent="0.25">
      <c r="A15" s="5" t="s">
        <v>791</v>
      </c>
    </row>
    <row r="16" spans="1:1" x14ac:dyDescent="0.25">
      <c r="A16" s="5" t="s">
        <v>792</v>
      </c>
    </row>
    <row r="18" spans="1:1" x14ac:dyDescent="0.25">
      <c r="A18" s="5" t="s">
        <v>793</v>
      </c>
    </row>
    <row r="19" spans="1:1" x14ac:dyDescent="0.25">
      <c r="A19" t="s">
        <v>799</v>
      </c>
    </row>
    <row r="20" spans="1:1" ht="15.75" x14ac:dyDescent="0.25">
      <c r="A20" s="6" t="s">
        <v>794</v>
      </c>
    </row>
    <row r="21" spans="1:1" ht="15.75" x14ac:dyDescent="0.25">
      <c r="A21" s="6" t="s">
        <v>795</v>
      </c>
    </row>
    <row r="22" spans="1:1" ht="15.75" x14ac:dyDescent="0.25">
      <c r="A22" s="6" t="s">
        <v>796</v>
      </c>
    </row>
    <row r="23" spans="1:1" ht="15.75" x14ac:dyDescent="0.25">
      <c r="A23" s="6" t="s">
        <v>797</v>
      </c>
    </row>
    <row r="24" spans="1:1" ht="15.75" x14ac:dyDescent="0.25">
      <c r="A24" s="6" t="s">
        <v>798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sample_list</vt:lpstr>
      <vt:lpstr>assignments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Whitman</dc:creator>
  <cp:lastModifiedBy>Malte Willmes</cp:lastModifiedBy>
  <dcterms:created xsi:type="dcterms:W3CDTF">2024-07-18T20:24:24Z</dcterms:created>
  <dcterms:modified xsi:type="dcterms:W3CDTF">2024-08-12T13:16:43Z</dcterms:modified>
</cp:coreProperties>
</file>