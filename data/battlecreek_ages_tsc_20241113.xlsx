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te.willmes\Dropbox\AncientSalmonProject\Manuscripts\Battle_Creek\data\"/>
    </mc:Choice>
  </mc:AlternateContent>
  <xr:revisionPtr revIDLastSave="0" documentId="13_ncr:1_{AAB55C35-8917-46FA-8472-5EDF50F930C3}" xr6:coauthVersionLast="47" xr6:coauthVersionMax="47" xr10:uidLastSave="{00000000-0000-0000-0000-000000000000}"/>
  <bookViews>
    <workbookView xWindow="-108" yWindow="-108" windowWidth="23256" windowHeight="12456" activeTab="1" xr2:uid="{E0EEEFC9-9E93-454C-B9EF-3D410F771F98}"/>
  </bookViews>
  <sheets>
    <sheet name="ages" sheetId="1" r:id="rId1"/>
    <sheet name="ages_compare" sheetId="3" r:id="rId2"/>
    <sheet name="agreement_only" sheetId="5" r:id="rId3"/>
    <sheet name="sr" sheetId="4" r:id="rId4"/>
    <sheet name="lookup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" i="5" l="1"/>
  <c r="E56" i="5"/>
  <c r="D58" i="5"/>
  <c r="E58" i="5" s="1"/>
  <c r="D57" i="5"/>
  <c r="E57" i="5" s="1"/>
  <c r="K9" i="3"/>
  <c r="H5" i="3" a="1"/>
  <c r="H5" i="3" s="1"/>
  <c r="H6" i="3" a="1"/>
  <c r="H6" i="3" s="1"/>
  <c r="H7" i="3" a="1"/>
  <c r="H7" i="3" s="1"/>
  <c r="H8" i="3" a="1"/>
  <c r="H8" i="3" s="1"/>
  <c r="H9" i="3" a="1"/>
  <c r="H9" i="3" s="1"/>
  <c r="H10" i="3" a="1"/>
  <c r="H10" i="3" s="1"/>
  <c r="H11" i="3" a="1"/>
  <c r="H11" i="3" s="1"/>
  <c r="H12" i="3" a="1"/>
  <c r="H12" i="3" s="1"/>
  <c r="H13" i="3" a="1"/>
  <c r="H13" i="3" s="1"/>
  <c r="H14" i="3" a="1"/>
  <c r="H14" i="3" s="1"/>
  <c r="H15" i="3" a="1"/>
  <c r="H15" i="3" s="1"/>
  <c r="H16" i="3" a="1"/>
  <c r="H16" i="3"/>
  <c r="H17" i="3" a="1"/>
  <c r="H17" i="3" s="1"/>
  <c r="H18" i="3" a="1"/>
  <c r="H18" i="3" s="1"/>
  <c r="H19" i="3" a="1"/>
  <c r="H19" i="3" s="1"/>
  <c r="H20" i="3" a="1"/>
  <c r="H20" i="3" s="1"/>
  <c r="H21" i="3" a="1"/>
  <c r="H21" i="3" s="1"/>
  <c r="H22" i="3" a="1"/>
  <c r="H22" i="3" s="1"/>
  <c r="H23" i="3" a="1"/>
  <c r="H23" i="3" s="1"/>
  <c r="H24" i="3" a="1"/>
  <c r="H24" i="3" s="1"/>
  <c r="H25" i="3" a="1"/>
  <c r="H25" i="3" s="1"/>
  <c r="H26" i="3" a="1"/>
  <c r="H26" i="3" s="1"/>
  <c r="H27" i="3" a="1"/>
  <c r="H27" i="3" s="1"/>
  <c r="H28" i="3" a="1"/>
  <c r="H28" i="3" s="1"/>
  <c r="H29" i="3" a="1"/>
  <c r="H29" i="3" s="1"/>
  <c r="H30" i="3" a="1"/>
  <c r="H30" i="3" s="1"/>
  <c r="H31" i="3" a="1"/>
  <c r="H31" i="3" s="1"/>
  <c r="H32" i="3" a="1"/>
  <c r="H32" i="3"/>
  <c r="H34" i="3" a="1"/>
  <c r="H34" i="3" s="1"/>
  <c r="H35" i="3" a="1"/>
  <c r="H35" i="3" s="1"/>
  <c r="H36" i="3" a="1"/>
  <c r="H36" i="3"/>
  <c r="H37" i="3" a="1"/>
  <c r="H37" i="3" s="1"/>
  <c r="H38" i="3" a="1"/>
  <c r="H38" i="3" s="1"/>
  <c r="H39" i="3" a="1"/>
  <c r="H39" i="3" s="1"/>
  <c r="H40" i="3" a="1"/>
  <c r="H40" i="3" s="1"/>
  <c r="H41" i="3" a="1"/>
  <c r="H41" i="3" s="1"/>
  <c r="H42" i="3" a="1"/>
  <c r="H42" i="3" s="1"/>
  <c r="H43" i="3" a="1"/>
  <c r="H43" i="3" s="1"/>
  <c r="H44" i="3" a="1"/>
  <c r="H44" i="3"/>
  <c r="H45" i="3" a="1"/>
  <c r="H45" i="3" s="1"/>
  <c r="H46" i="3" a="1"/>
  <c r="H46" i="3" s="1"/>
  <c r="H47" i="3" a="1"/>
  <c r="H47" i="3" s="1"/>
  <c r="H48" i="3" a="1"/>
  <c r="H48" i="3" s="1"/>
  <c r="H49" i="3" a="1"/>
  <c r="H49" i="3" s="1"/>
  <c r="H50" i="3" a="1"/>
  <c r="H50" i="3" s="1"/>
  <c r="H51" i="3" a="1"/>
  <c r="H51" i="3" s="1"/>
  <c r="H53" i="3" a="1"/>
  <c r="H53" i="3" s="1"/>
  <c r="H54" i="3" a="1"/>
  <c r="H54" i="3" s="1"/>
  <c r="H55" i="3" a="1"/>
  <c r="H55" i="3" s="1"/>
  <c r="H56" i="3" a="1"/>
  <c r="H56" i="3" s="1"/>
  <c r="H57" i="3" a="1"/>
  <c r="H57" i="3" s="1"/>
  <c r="H58" i="3" a="1"/>
  <c r="H58" i="3" s="1"/>
  <c r="H59" i="3" a="1"/>
  <c r="H59" i="3" s="1"/>
  <c r="H60" i="3" a="1"/>
  <c r="H60" i="3" s="1"/>
  <c r="H62" i="3" a="1"/>
  <c r="H62" i="3" s="1"/>
  <c r="H63" i="3" a="1"/>
  <c r="H63" i="3" s="1"/>
  <c r="H64" i="3" a="1"/>
  <c r="H64" i="3" s="1"/>
  <c r="H65" i="3" a="1"/>
  <c r="H65" i="3" s="1"/>
  <c r="H66" i="3" a="1"/>
  <c r="H66" i="3" s="1"/>
  <c r="H67" i="3" a="1"/>
  <c r="H67" i="3" s="1"/>
  <c r="H70" i="3" a="1"/>
  <c r="H70" i="3" s="1"/>
  <c r="H71" i="3" a="1"/>
  <c r="H71" i="3" s="1"/>
  <c r="H72" i="3" a="1"/>
  <c r="H72" i="3" s="1"/>
  <c r="H73" i="3" a="1"/>
  <c r="H73" i="3" s="1"/>
  <c r="H74" i="3" a="1"/>
  <c r="H74" i="3" s="1"/>
  <c r="H75" i="3" a="1"/>
  <c r="H75" i="3" s="1"/>
  <c r="H76" i="3" a="1"/>
  <c r="H76" i="3" s="1"/>
  <c r="H77" i="3" a="1"/>
  <c r="H77" i="3" s="1"/>
  <c r="H79" i="3" a="1"/>
  <c r="H79" i="3" s="1"/>
  <c r="H80" i="3" a="1"/>
  <c r="H80" i="3" s="1"/>
  <c r="H82" i="3" a="1"/>
  <c r="H82" i="3" s="1"/>
  <c r="H83" i="3" a="1"/>
  <c r="H83" i="3" s="1"/>
  <c r="H84" i="3" a="1"/>
  <c r="H84" i="3" s="1"/>
  <c r="H85" i="3" a="1"/>
  <c r="H85" i="3" s="1"/>
  <c r="H86" i="3" a="1"/>
  <c r="H86" i="3" s="1"/>
  <c r="H87" i="3" a="1"/>
  <c r="H87" i="3" s="1"/>
  <c r="H88" i="3" a="1"/>
  <c r="H88" i="3" s="1"/>
  <c r="H89" i="3" a="1"/>
  <c r="H89" i="3" s="1"/>
  <c r="H90" i="3" a="1"/>
  <c r="H90" i="3" s="1"/>
  <c r="H91" i="3" a="1"/>
  <c r="H91" i="3" s="1"/>
  <c r="H92" i="3" a="1"/>
  <c r="H92" i="3" s="1"/>
  <c r="H93" i="3" a="1"/>
  <c r="H93" i="3" s="1"/>
  <c r="H94" i="3" a="1"/>
  <c r="H94" i="3" s="1"/>
  <c r="H95" i="3" a="1"/>
  <c r="H95" i="3" s="1"/>
  <c r="H96" i="3" a="1"/>
  <c r="H96" i="3" s="1"/>
  <c r="H97" i="3" a="1"/>
  <c r="H97" i="3" s="1"/>
  <c r="H98" i="3" a="1"/>
  <c r="H98" i="3" s="1"/>
  <c r="H99" i="3" a="1"/>
  <c r="H99" i="3" s="1"/>
  <c r="H100" i="3" a="1"/>
  <c r="H100" i="3" s="1"/>
  <c r="H101" i="3" a="1"/>
  <c r="H101" i="3" s="1"/>
  <c r="H102" i="3" a="1"/>
  <c r="H102" i="3" s="1"/>
  <c r="H103" i="3" a="1"/>
  <c r="H103" i="3" s="1"/>
  <c r="H104" i="3" a="1"/>
  <c r="H104" i="3" s="1"/>
  <c r="H106" i="3" a="1"/>
  <c r="H106" i="3" s="1"/>
  <c r="H107" i="3" a="1"/>
  <c r="H107" i="3" s="1"/>
  <c r="H108" i="3" a="1"/>
  <c r="H108" i="3" s="1"/>
  <c r="H109" i="3" a="1"/>
  <c r="H109" i="3" s="1"/>
  <c r="H110" i="3" a="1"/>
  <c r="H110" i="3" s="1"/>
  <c r="H111" i="3" a="1"/>
  <c r="H111" i="3" s="1"/>
  <c r="H112" i="3" a="1"/>
  <c r="H112" i="3" s="1"/>
  <c r="H113" i="3" a="1"/>
  <c r="H113" i="3" s="1"/>
  <c r="H114" i="3" a="1"/>
  <c r="H114" i="3" s="1"/>
  <c r="H115" i="3" a="1"/>
  <c r="H115" i="3" s="1"/>
  <c r="H116" i="3" a="1"/>
  <c r="H116" i="3" s="1"/>
  <c r="H117" i="3" a="1"/>
  <c r="H117" i="3" s="1"/>
  <c r="H118" i="3" a="1"/>
  <c r="H118" i="3" s="1"/>
  <c r="H119" i="3" a="1"/>
  <c r="H119" i="3" s="1"/>
  <c r="H120" i="3" a="1"/>
  <c r="H120" i="3" s="1"/>
  <c r="H121" i="3" a="1"/>
  <c r="H121" i="3" s="1"/>
  <c r="H122" i="3" a="1"/>
  <c r="H122" i="3" s="1"/>
  <c r="H124" i="3" a="1"/>
  <c r="H124" i="3" s="1"/>
  <c r="H125" i="3" a="1"/>
  <c r="H125" i="3" s="1"/>
  <c r="H126" i="3" a="1"/>
  <c r="H126" i="3" s="1"/>
  <c r="H127" i="3" a="1"/>
  <c r="H127" i="3" s="1"/>
  <c r="H128" i="3" a="1"/>
  <c r="H128" i="3" s="1"/>
  <c r="H129" i="3" a="1"/>
  <c r="H129" i="3" s="1"/>
  <c r="H130" i="3" a="1"/>
  <c r="H130" i="3" s="1"/>
  <c r="H131" i="3" a="1"/>
  <c r="H131" i="3" s="1"/>
  <c r="H132" i="3" a="1"/>
  <c r="H132" i="3" s="1"/>
  <c r="H133" i="3" a="1"/>
  <c r="H133" i="3" s="1"/>
  <c r="H134" i="3" a="1"/>
  <c r="H134" i="3" s="1"/>
  <c r="H135" i="3" a="1"/>
  <c r="H135" i="3" s="1"/>
  <c r="H136" i="3" a="1"/>
  <c r="H136" i="3" s="1"/>
  <c r="H137" i="3" a="1"/>
  <c r="H137" i="3" s="1"/>
  <c r="H138" i="3" a="1"/>
  <c r="H138" i="3" s="1"/>
  <c r="H139" i="3" a="1"/>
  <c r="H139" i="3" s="1"/>
  <c r="H140" i="3" a="1"/>
  <c r="H140" i="3" s="1"/>
  <c r="H141" i="3" a="1"/>
  <c r="H141" i="3" s="1"/>
  <c r="H142" i="3" a="1"/>
  <c r="H142" i="3" s="1"/>
  <c r="H143" i="3" a="1"/>
  <c r="H143" i="3" s="1"/>
  <c r="H144" i="3" a="1"/>
  <c r="H144" i="3" s="1"/>
  <c r="H145" i="3" a="1"/>
  <c r="H145" i="3" s="1"/>
  <c r="H146" i="3" a="1"/>
  <c r="H146" i="3" s="1"/>
  <c r="H147" i="3" a="1"/>
  <c r="H147" i="3" s="1"/>
  <c r="H148" i="3" a="1"/>
  <c r="H148" i="3" s="1"/>
  <c r="H149" i="3" a="1"/>
  <c r="H149" i="3" s="1"/>
  <c r="H150" i="3" a="1"/>
  <c r="H150" i="3" s="1"/>
  <c r="H151" i="3" a="1"/>
  <c r="H151" i="3" s="1"/>
  <c r="H152" i="3" a="1"/>
  <c r="H152" i="3" s="1"/>
  <c r="H153" i="3" a="1"/>
  <c r="H153" i="3" s="1"/>
  <c r="H154" i="3" a="1"/>
  <c r="H154" i="3" s="1"/>
  <c r="H155" i="3" a="1"/>
  <c r="H155" i="3" s="1"/>
  <c r="H156" i="3" a="1"/>
  <c r="H156" i="3" s="1"/>
  <c r="H157" i="3" a="1"/>
  <c r="H157" i="3" s="1"/>
  <c r="H158" i="3" a="1"/>
  <c r="H158" i="3" s="1"/>
  <c r="H159" i="3" a="1"/>
  <c r="H159" i="3" s="1"/>
  <c r="H161" i="3" a="1"/>
  <c r="H161" i="3" s="1"/>
  <c r="H162" i="3" a="1"/>
  <c r="H162" i="3" s="1"/>
  <c r="H163" i="3" a="1"/>
  <c r="H163" i="3" s="1"/>
  <c r="H164" i="3" a="1"/>
  <c r="H164" i="3" s="1"/>
  <c r="H165" i="3" a="1"/>
  <c r="H165" i="3" s="1"/>
  <c r="H166" i="3" a="1"/>
  <c r="H166" i="3" s="1"/>
  <c r="H167" i="3" a="1"/>
  <c r="H167" i="3" s="1"/>
  <c r="H168" i="3" a="1"/>
  <c r="H168" i="3" s="1"/>
  <c r="H169" i="3" a="1"/>
  <c r="H169" i="3" s="1"/>
  <c r="H170" i="3" a="1"/>
  <c r="H170" i="3" s="1"/>
  <c r="H171" i="3" a="1"/>
  <c r="H171" i="3" s="1"/>
  <c r="H172" i="3" a="1"/>
  <c r="H172" i="3" s="1"/>
  <c r="H173" i="3" a="1"/>
  <c r="H173" i="3" s="1"/>
  <c r="H174" i="3" a="1"/>
  <c r="H174" i="3" s="1"/>
  <c r="H175" i="3" a="1"/>
  <c r="H175" i="3" s="1"/>
  <c r="H176" i="3" a="1"/>
  <c r="H176" i="3" s="1"/>
  <c r="H177" i="3" a="1"/>
  <c r="H177" i="3" s="1"/>
  <c r="H178" i="3" a="1"/>
  <c r="H178" i="3" s="1"/>
  <c r="H179" i="3" a="1"/>
  <c r="H179" i="3" s="1"/>
  <c r="H180" i="3" a="1"/>
  <c r="H180" i="3" s="1"/>
  <c r="H181" i="3" a="1"/>
  <c r="H181" i="3" s="1"/>
  <c r="H182" i="3" a="1"/>
  <c r="H182" i="3" s="1"/>
  <c r="H183" i="3" a="1"/>
  <c r="H183" i="3" s="1"/>
  <c r="H184" i="3" a="1"/>
  <c r="H184" i="3" s="1"/>
  <c r="H185" i="3" a="1"/>
  <c r="H185" i="3" s="1"/>
  <c r="H186" i="3" a="1"/>
  <c r="H186" i="3" s="1"/>
  <c r="H187" i="3" a="1"/>
  <c r="H187" i="3" s="1"/>
  <c r="H188" i="3" a="1"/>
  <c r="H188" i="3" s="1"/>
  <c r="H189" i="3" a="1"/>
  <c r="H189" i="3" s="1"/>
  <c r="H190" i="3" a="1"/>
  <c r="H190" i="3" s="1"/>
  <c r="H191" i="3" a="1"/>
  <c r="H191" i="3" s="1"/>
  <c r="H192" i="3" a="1"/>
  <c r="H192" i="3" s="1"/>
  <c r="H193" i="3" a="1"/>
  <c r="H193" i="3" s="1"/>
  <c r="H194" i="3" a="1"/>
  <c r="H194" i="3" s="1"/>
  <c r="H195" i="3" a="1"/>
  <c r="H195" i="3" s="1"/>
  <c r="H196" i="3" a="1"/>
  <c r="H196" i="3" s="1"/>
  <c r="H197" i="3" a="1"/>
  <c r="H197" i="3" s="1"/>
  <c r="H198" i="3" a="1"/>
  <c r="H198" i="3" s="1"/>
  <c r="H199" i="3" a="1"/>
  <c r="H199" i="3" s="1"/>
  <c r="H200" i="3" a="1"/>
  <c r="H200" i="3" s="1"/>
  <c r="H201" i="3" a="1"/>
  <c r="H201" i="3" s="1"/>
  <c r="H202" i="3" a="1"/>
  <c r="H202" i="3" s="1"/>
  <c r="H203" i="3" a="1"/>
  <c r="H203" i="3" s="1"/>
  <c r="H204" i="3" a="1"/>
  <c r="H204" i="3" s="1"/>
  <c r="H205" i="3" a="1"/>
  <c r="H205" i="3" s="1"/>
  <c r="H206" i="3" a="1"/>
  <c r="H206" i="3" s="1"/>
  <c r="H207" i="3" a="1"/>
  <c r="H207" i="3" s="1"/>
  <c r="H208" i="3" a="1"/>
  <c r="H208" i="3" s="1"/>
  <c r="H209" i="3" a="1"/>
  <c r="H209" i="3" s="1"/>
  <c r="H210" i="3" a="1"/>
  <c r="H210" i="3" s="1"/>
  <c r="H211" i="3" a="1"/>
  <c r="H211" i="3" s="1"/>
  <c r="H212" i="3" a="1"/>
  <c r="H212" i="3" s="1"/>
  <c r="H213" i="3" a="1"/>
  <c r="H213" i="3" s="1"/>
  <c r="H214" i="3" a="1"/>
  <c r="H214" i="3" s="1"/>
  <c r="H215" i="3" a="1"/>
  <c r="H215" i="3" s="1"/>
  <c r="H216" i="3" a="1"/>
  <c r="H216" i="3" s="1"/>
  <c r="H217" i="3" a="1"/>
  <c r="H217" i="3" s="1"/>
  <c r="H218" i="3" a="1"/>
  <c r="H218" i="3" s="1"/>
  <c r="H219" i="3" a="1"/>
  <c r="H219" i="3" s="1"/>
  <c r="H220" i="3" a="1"/>
  <c r="H220" i="3" s="1"/>
  <c r="H221" i="3" a="1"/>
  <c r="H221" i="3" s="1"/>
  <c r="H222" i="3" a="1"/>
  <c r="H222" i="3" s="1"/>
  <c r="H223" i="3" a="1"/>
  <c r="H223" i="3" s="1"/>
  <c r="H224" i="3" a="1"/>
  <c r="H224" i="3"/>
  <c r="H225" i="3" a="1"/>
  <c r="H225" i="3" s="1"/>
  <c r="H226" i="3" a="1"/>
  <c r="H226" i="3" s="1"/>
  <c r="H227" i="3" a="1"/>
  <c r="H227" i="3" s="1"/>
  <c r="H228" i="3" a="1"/>
  <c r="H228" i="3" s="1"/>
  <c r="H229" i="3" a="1"/>
  <c r="H229" i="3" s="1"/>
  <c r="H230" i="3" a="1"/>
  <c r="H230" i="3" s="1"/>
  <c r="H231" i="3" a="1"/>
  <c r="H231" i="3" s="1"/>
  <c r="H232" i="3" a="1"/>
  <c r="H232" i="3" s="1"/>
  <c r="H233" i="3" a="1"/>
  <c r="H233" i="3" s="1"/>
  <c r="H234" i="3" a="1"/>
  <c r="H234" i="3" s="1"/>
  <c r="H235" i="3" a="1"/>
  <c r="H235" i="3" s="1"/>
  <c r="H236" i="3" a="1"/>
  <c r="H236" i="3" s="1"/>
  <c r="H237" i="3" a="1"/>
  <c r="H237" i="3" s="1"/>
  <c r="H238" i="3" a="1"/>
  <c r="H238" i="3" s="1"/>
  <c r="H239" i="3" a="1"/>
  <c r="H239" i="3" s="1"/>
  <c r="H240" i="3" a="1"/>
  <c r="H240" i="3" s="1"/>
  <c r="H242" i="3" a="1"/>
  <c r="H242" i="3" s="1"/>
  <c r="H243" i="3" a="1"/>
  <c r="H243" i="3" s="1"/>
  <c r="H244" i="3" a="1"/>
  <c r="H244" i="3"/>
  <c r="H246" i="3" a="1"/>
  <c r="H246" i="3" s="1"/>
  <c r="H247" i="3" a="1"/>
  <c r="H247" i="3" s="1"/>
  <c r="H248" i="3" a="1"/>
  <c r="H248" i="3" s="1"/>
  <c r="H249" i="3" a="1"/>
  <c r="H249" i="3" s="1"/>
  <c r="H251" i="3" a="1"/>
  <c r="H251" i="3" s="1"/>
  <c r="H252" i="3" a="1"/>
  <c r="H252" i="3" s="1"/>
  <c r="H253" i="3" a="1"/>
  <c r="H253" i="3" s="1"/>
  <c r="H254" i="3" a="1"/>
  <c r="H254" i="3" s="1"/>
  <c r="H255" i="3" a="1"/>
  <c r="H255" i="3" s="1"/>
  <c r="H256" i="3" a="1"/>
  <c r="H256" i="3"/>
  <c r="H257" i="3" a="1"/>
  <c r="H257" i="3" s="1"/>
  <c r="H258" i="3" a="1"/>
  <c r="H258" i="3" s="1"/>
  <c r="H259" i="3" a="1"/>
  <c r="H259" i="3" s="1"/>
  <c r="H260" i="3" a="1"/>
  <c r="H260" i="3" s="1"/>
  <c r="H261" i="3" a="1"/>
  <c r="H261" i="3" s="1"/>
  <c r="H262" i="3" a="1"/>
  <c r="H262" i="3" s="1"/>
  <c r="H263" i="3" a="1"/>
  <c r="H263" i="3" s="1"/>
  <c r="H264" i="3" a="1"/>
  <c r="H264" i="3" s="1"/>
  <c r="H265" i="3" a="1"/>
  <c r="H265" i="3" s="1"/>
  <c r="H266" i="3" a="1"/>
  <c r="H266" i="3" s="1"/>
  <c r="H267" i="3" a="1"/>
  <c r="H267" i="3" s="1"/>
  <c r="H268" i="3" a="1"/>
  <c r="H268" i="3" s="1"/>
  <c r="H269" i="3" a="1"/>
  <c r="H269" i="3" s="1"/>
  <c r="H270" i="3" a="1"/>
  <c r="H270" i="3" s="1"/>
  <c r="H271" i="3" a="1"/>
  <c r="H271" i="3" s="1"/>
  <c r="H272" i="3" a="1"/>
  <c r="H272" i="3" s="1"/>
  <c r="H273" i="3" a="1"/>
  <c r="H273" i="3" s="1"/>
  <c r="H274" i="3" a="1"/>
  <c r="H274" i="3" s="1"/>
  <c r="H275" i="3" a="1"/>
  <c r="H275" i="3" s="1"/>
  <c r="H276" i="3" a="1"/>
  <c r="H276" i="3" s="1"/>
  <c r="H277" i="3" a="1"/>
  <c r="H277" i="3" s="1"/>
  <c r="H278" i="3" a="1"/>
  <c r="H278" i="3" s="1"/>
  <c r="H279" i="3" a="1"/>
  <c r="H279" i="3" s="1"/>
  <c r="H280" i="3" a="1"/>
  <c r="H280" i="3" s="1"/>
  <c r="H281" i="3" a="1"/>
  <c r="H281" i="3" s="1"/>
  <c r="H282" i="3" a="1"/>
  <c r="H282" i="3" s="1"/>
  <c r="H283" i="3" a="1"/>
  <c r="H283" i="3" s="1"/>
  <c r="H284" i="3" a="1"/>
  <c r="H284" i="3" s="1"/>
  <c r="H285" i="3" a="1"/>
  <c r="H285" i="3" s="1"/>
  <c r="H286" i="3" a="1"/>
  <c r="H286" i="3" s="1"/>
  <c r="H287" i="3" a="1"/>
  <c r="H287" i="3" s="1"/>
  <c r="H288" i="3" a="1"/>
  <c r="H288" i="3" s="1"/>
  <c r="H289" i="3" a="1"/>
  <c r="H289" i="3" s="1"/>
  <c r="H290" i="3" a="1"/>
  <c r="H290" i="3" s="1"/>
  <c r="H291" i="3" a="1"/>
  <c r="H291" i="3" s="1"/>
  <c r="H292" i="3" a="1"/>
  <c r="H292" i="3" s="1"/>
  <c r="H293" i="3" a="1"/>
  <c r="H293" i="3" s="1"/>
  <c r="H294" i="3" a="1"/>
  <c r="H294" i="3" s="1"/>
  <c r="H295" i="3" a="1"/>
  <c r="H295" i="3" s="1"/>
  <c r="H296" i="3" a="1"/>
  <c r="H296" i="3" s="1"/>
  <c r="H297" i="3" a="1"/>
  <c r="H297" i="3" s="1"/>
  <c r="H298" i="3" a="1"/>
  <c r="H298" i="3" s="1"/>
  <c r="H299" i="3" a="1"/>
  <c r="H299" i="3" s="1"/>
  <c r="H300" i="3" a="1"/>
  <c r="H300" i="3" s="1"/>
  <c r="H301" i="3" a="1"/>
  <c r="H301" i="3" s="1"/>
  <c r="H302" i="3" a="1"/>
  <c r="H302" i="3" s="1"/>
  <c r="H303" i="3" a="1"/>
  <c r="H303" i="3" s="1"/>
  <c r="H4" i="3" a="1"/>
  <c r="H4" i="3" s="1"/>
  <c r="H3" i="3" a="1"/>
  <c r="H3" i="3" s="1"/>
  <c r="H2" i="3" a="1"/>
  <c r="H2" i="3" s="1"/>
  <c r="A303" i="3"/>
  <c r="C303" i="3" s="1"/>
  <c r="A302" i="3"/>
  <c r="C302" i="3" s="1"/>
  <c r="A301" i="3"/>
  <c r="C301" i="3" s="1"/>
  <c r="A300" i="3"/>
  <c r="C300" i="3" s="1"/>
  <c r="A299" i="3"/>
  <c r="C299" i="3" s="1"/>
  <c r="A298" i="3"/>
  <c r="C298" i="3" s="1"/>
  <c r="A297" i="3"/>
  <c r="C297" i="3" s="1"/>
  <c r="A296" i="3"/>
  <c r="C296" i="3" s="1"/>
  <c r="A295" i="3"/>
  <c r="C295" i="3" s="1"/>
  <c r="A294" i="3"/>
  <c r="C294" i="3" s="1"/>
  <c r="A293" i="3"/>
  <c r="C293" i="3" s="1"/>
  <c r="A292" i="3"/>
  <c r="C292" i="3" s="1"/>
  <c r="A291" i="3"/>
  <c r="C291" i="3" s="1"/>
  <c r="A290" i="3"/>
  <c r="C290" i="3" s="1"/>
  <c r="A289" i="3"/>
  <c r="C289" i="3" s="1"/>
  <c r="A288" i="3"/>
  <c r="C288" i="3" s="1"/>
  <c r="A287" i="3"/>
  <c r="C287" i="3" s="1"/>
  <c r="A286" i="3"/>
  <c r="C286" i="3" s="1"/>
  <c r="A285" i="3"/>
  <c r="C285" i="3" s="1"/>
  <c r="A284" i="3"/>
  <c r="C284" i="3" s="1"/>
  <c r="A283" i="3"/>
  <c r="C283" i="3" s="1"/>
  <c r="A282" i="3"/>
  <c r="C282" i="3" s="1"/>
  <c r="A281" i="3"/>
  <c r="C281" i="3" s="1"/>
  <c r="A280" i="3"/>
  <c r="C280" i="3" s="1"/>
  <c r="A279" i="3"/>
  <c r="C279" i="3" s="1"/>
  <c r="A278" i="3"/>
  <c r="C278" i="3" s="1"/>
  <c r="A277" i="3"/>
  <c r="C277" i="3" s="1"/>
  <c r="A276" i="3"/>
  <c r="C276" i="3" s="1"/>
  <c r="A275" i="3"/>
  <c r="C275" i="3" s="1"/>
  <c r="A274" i="3"/>
  <c r="C274" i="3" s="1"/>
  <c r="A273" i="3"/>
  <c r="C273" i="3" s="1"/>
  <c r="A272" i="3"/>
  <c r="C272" i="3" s="1"/>
  <c r="A271" i="3"/>
  <c r="C271" i="3" s="1"/>
  <c r="A270" i="3"/>
  <c r="C270" i="3" s="1"/>
  <c r="A269" i="3"/>
  <c r="C269" i="3" s="1"/>
  <c r="A268" i="3"/>
  <c r="C268" i="3" s="1"/>
  <c r="A267" i="3"/>
  <c r="C267" i="3" s="1"/>
  <c r="A266" i="3"/>
  <c r="C266" i="3" s="1"/>
  <c r="A265" i="3"/>
  <c r="C265" i="3" s="1"/>
  <c r="A264" i="3"/>
  <c r="C264" i="3" s="1"/>
  <c r="A263" i="3"/>
  <c r="C263" i="3" s="1"/>
  <c r="A262" i="3"/>
  <c r="C262" i="3" s="1"/>
  <c r="A261" i="3"/>
  <c r="C261" i="3" s="1"/>
  <c r="A260" i="3"/>
  <c r="C260" i="3" s="1"/>
  <c r="A259" i="3"/>
  <c r="C259" i="3" s="1"/>
  <c r="A258" i="3"/>
  <c r="C258" i="3" s="1"/>
  <c r="A257" i="3"/>
  <c r="C257" i="3" s="1"/>
  <c r="A256" i="3"/>
  <c r="C256" i="3" s="1"/>
  <c r="A255" i="3"/>
  <c r="C255" i="3" s="1"/>
  <c r="A254" i="3"/>
  <c r="C254" i="3" s="1"/>
  <c r="A253" i="3"/>
  <c r="C253" i="3" s="1"/>
  <c r="A252" i="3"/>
  <c r="C252" i="3" s="1"/>
  <c r="A251" i="3"/>
  <c r="C251" i="3" s="1"/>
  <c r="A250" i="3"/>
  <c r="C250" i="3" s="1"/>
  <c r="A249" i="3"/>
  <c r="C249" i="3" s="1"/>
  <c r="A248" i="3"/>
  <c r="C248" i="3" s="1"/>
  <c r="A247" i="3"/>
  <c r="C247" i="3" s="1"/>
  <c r="A246" i="3"/>
  <c r="C246" i="3" s="1"/>
  <c r="A245" i="3"/>
  <c r="C245" i="3" s="1"/>
  <c r="A244" i="3"/>
  <c r="C244" i="3" s="1"/>
  <c r="A243" i="3"/>
  <c r="C243" i="3" s="1"/>
  <c r="A242" i="3"/>
  <c r="C242" i="3" s="1"/>
  <c r="A241" i="3"/>
  <c r="C241" i="3" s="1"/>
  <c r="A240" i="3"/>
  <c r="C240" i="3" s="1"/>
  <c r="A239" i="3"/>
  <c r="C239" i="3" s="1"/>
  <c r="A238" i="3"/>
  <c r="C238" i="3" s="1"/>
  <c r="A237" i="3"/>
  <c r="C237" i="3" s="1"/>
  <c r="A236" i="3"/>
  <c r="C236" i="3" s="1"/>
  <c r="A235" i="3"/>
  <c r="C235" i="3" s="1"/>
  <c r="A234" i="3"/>
  <c r="C234" i="3" s="1"/>
  <c r="A233" i="3"/>
  <c r="C233" i="3" s="1"/>
  <c r="A232" i="3"/>
  <c r="C232" i="3" s="1"/>
  <c r="A231" i="3"/>
  <c r="C231" i="3" s="1"/>
  <c r="A230" i="3"/>
  <c r="C230" i="3" s="1"/>
  <c r="A229" i="3"/>
  <c r="C229" i="3" s="1"/>
  <c r="A228" i="3"/>
  <c r="C228" i="3" s="1"/>
  <c r="A227" i="3"/>
  <c r="C227" i="3" s="1"/>
  <c r="A226" i="3"/>
  <c r="C226" i="3" s="1"/>
  <c r="A225" i="3"/>
  <c r="C225" i="3" s="1"/>
  <c r="A224" i="3"/>
  <c r="C224" i="3" s="1"/>
  <c r="A223" i="3"/>
  <c r="C223" i="3" s="1"/>
  <c r="A222" i="3"/>
  <c r="C222" i="3" s="1"/>
  <c r="A221" i="3"/>
  <c r="C221" i="3" s="1"/>
  <c r="A220" i="3"/>
  <c r="C220" i="3" s="1"/>
  <c r="A219" i="3"/>
  <c r="C219" i="3" s="1"/>
  <c r="A218" i="3"/>
  <c r="C218" i="3" s="1"/>
  <c r="A217" i="3"/>
  <c r="C217" i="3" s="1"/>
  <c r="A216" i="3"/>
  <c r="C216" i="3" s="1"/>
  <c r="A215" i="3"/>
  <c r="C215" i="3" s="1"/>
  <c r="A214" i="3"/>
  <c r="C214" i="3" s="1"/>
  <c r="A213" i="3"/>
  <c r="C213" i="3" s="1"/>
  <c r="A212" i="3"/>
  <c r="C212" i="3" s="1"/>
  <c r="A211" i="3"/>
  <c r="C211" i="3" s="1"/>
  <c r="A210" i="3"/>
  <c r="C210" i="3" s="1"/>
  <c r="A209" i="3"/>
  <c r="C209" i="3" s="1"/>
  <c r="A208" i="3"/>
  <c r="C208" i="3" s="1"/>
  <c r="A207" i="3"/>
  <c r="C207" i="3" s="1"/>
  <c r="A206" i="3"/>
  <c r="C206" i="3" s="1"/>
  <c r="A205" i="3"/>
  <c r="C205" i="3" s="1"/>
  <c r="A204" i="3"/>
  <c r="C204" i="3" s="1"/>
  <c r="A203" i="3"/>
  <c r="C203" i="3" s="1"/>
  <c r="A202" i="3"/>
  <c r="C202" i="3" s="1"/>
  <c r="A201" i="3"/>
  <c r="C201" i="3" s="1"/>
  <c r="A200" i="3"/>
  <c r="C200" i="3" s="1"/>
  <c r="A199" i="3"/>
  <c r="C199" i="3" s="1"/>
  <c r="A198" i="3"/>
  <c r="C198" i="3" s="1"/>
  <c r="A197" i="3"/>
  <c r="C197" i="3" s="1"/>
  <c r="A196" i="3"/>
  <c r="C196" i="3" s="1"/>
  <c r="A195" i="3"/>
  <c r="C195" i="3" s="1"/>
  <c r="A194" i="3"/>
  <c r="C194" i="3" s="1"/>
  <c r="A193" i="3"/>
  <c r="C193" i="3" s="1"/>
  <c r="A192" i="3"/>
  <c r="C192" i="3" s="1"/>
  <c r="A191" i="3"/>
  <c r="C191" i="3" s="1"/>
  <c r="A190" i="3"/>
  <c r="C190" i="3" s="1"/>
  <c r="A189" i="3"/>
  <c r="C189" i="3" s="1"/>
  <c r="A188" i="3"/>
  <c r="C188" i="3" s="1"/>
  <c r="A187" i="3"/>
  <c r="C187" i="3" s="1"/>
  <c r="A186" i="3"/>
  <c r="C186" i="3" s="1"/>
  <c r="A185" i="3"/>
  <c r="C185" i="3" s="1"/>
  <c r="A184" i="3"/>
  <c r="C184" i="3" s="1"/>
  <c r="A183" i="3"/>
  <c r="C183" i="3" s="1"/>
  <c r="A182" i="3"/>
  <c r="C182" i="3" s="1"/>
  <c r="A181" i="3"/>
  <c r="C181" i="3" s="1"/>
  <c r="A180" i="3"/>
  <c r="C180" i="3" s="1"/>
  <c r="A179" i="3"/>
  <c r="C179" i="3" s="1"/>
  <c r="A178" i="3"/>
  <c r="C178" i="3" s="1"/>
  <c r="A177" i="3"/>
  <c r="C177" i="3" s="1"/>
  <c r="A176" i="3"/>
  <c r="C176" i="3" s="1"/>
  <c r="A175" i="3"/>
  <c r="C175" i="3" s="1"/>
  <c r="A174" i="3"/>
  <c r="C174" i="3" s="1"/>
  <c r="A173" i="3"/>
  <c r="C173" i="3" s="1"/>
  <c r="A172" i="3"/>
  <c r="C172" i="3" s="1"/>
  <c r="A171" i="3"/>
  <c r="C171" i="3" s="1"/>
  <c r="A170" i="3"/>
  <c r="C170" i="3" s="1"/>
  <c r="A169" i="3"/>
  <c r="C169" i="3" s="1"/>
  <c r="A168" i="3"/>
  <c r="C168" i="3" s="1"/>
  <c r="A167" i="3"/>
  <c r="C167" i="3" s="1"/>
  <c r="A166" i="3"/>
  <c r="C166" i="3" s="1"/>
  <c r="A165" i="3"/>
  <c r="C165" i="3" s="1"/>
  <c r="A164" i="3"/>
  <c r="C164" i="3" s="1"/>
  <c r="A163" i="3"/>
  <c r="C163" i="3" s="1"/>
  <c r="A162" i="3"/>
  <c r="C162" i="3" s="1"/>
  <c r="A161" i="3"/>
  <c r="C161" i="3" s="1"/>
  <c r="A160" i="3"/>
  <c r="C160" i="3" s="1"/>
  <c r="A159" i="3"/>
  <c r="C159" i="3" s="1"/>
  <c r="A158" i="3"/>
  <c r="C158" i="3" s="1"/>
  <c r="A157" i="3"/>
  <c r="C157" i="3" s="1"/>
  <c r="A156" i="3"/>
  <c r="C156" i="3" s="1"/>
  <c r="A155" i="3"/>
  <c r="C155" i="3" s="1"/>
  <c r="A154" i="3"/>
  <c r="C154" i="3" s="1"/>
  <c r="A153" i="3"/>
  <c r="C153" i="3" s="1"/>
  <c r="A152" i="3"/>
  <c r="C152" i="3" s="1"/>
  <c r="A151" i="3"/>
  <c r="C151" i="3" s="1"/>
  <c r="A150" i="3"/>
  <c r="C150" i="3" s="1"/>
  <c r="A149" i="3"/>
  <c r="C149" i="3" s="1"/>
  <c r="A148" i="3"/>
  <c r="C148" i="3" s="1"/>
  <c r="A147" i="3"/>
  <c r="C147" i="3" s="1"/>
  <c r="A146" i="3"/>
  <c r="C146" i="3" s="1"/>
  <c r="A145" i="3"/>
  <c r="C145" i="3" s="1"/>
  <c r="A144" i="3"/>
  <c r="C144" i="3" s="1"/>
  <c r="A143" i="3"/>
  <c r="C143" i="3" s="1"/>
  <c r="A142" i="3"/>
  <c r="C142" i="3" s="1"/>
  <c r="A141" i="3"/>
  <c r="C141" i="3" s="1"/>
  <c r="A140" i="3"/>
  <c r="C140" i="3" s="1"/>
  <c r="A139" i="3"/>
  <c r="C139" i="3" s="1"/>
  <c r="A138" i="3"/>
  <c r="C138" i="3" s="1"/>
  <c r="A137" i="3"/>
  <c r="C137" i="3" s="1"/>
  <c r="A136" i="3"/>
  <c r="C136" i="3" s="1"/>
  <c r="A135" i="3"/>
  <c r="C135" i="3" s="1"/>
  <c r="A134" i="3"/>
  <c r="C134" i="3" s="1"/>
  <c r="A133" i="3"/>
  <c r="C133" i="3" s="1"/>
  <c r="A132" i="3"/>
  <c r="C132" i="3" s="1"/>
  <c r="A131" i="3"/>
  <c r="C131" i="3" s="1"/>
  <c r="A130" i="3"/>
  <c r="C130" i="3" s="1"/>
  <c r="A129" i="3"/>
  <c r="C129" i="3" s="1"/>
  <c r="A128" i="3"/>
  <c r="C128" i="3" s="1"/>
  <c r="A127" i="3"/>
  <c r="C127" i="3" s="1"/>
  <c r="A126" i="3"/>
  <c r="C126" i="3" s="1"/>
  <c r="A125" i="3"/>
  <c r="C125" i="3" s="1"/>
  <c r="A124" i="3"/>
  <c r="C124" i="3" s="1"/>
  <c r="A123" i="3"/>
  <c r="C123" i="3" s="1"/>
  <c r="A122" i="3"/>
  <c r="C122" i="3" s="1"/>
  <c r="A121" i="3"/>
  <c r="C121" i="3" s="1"/>
  <c r="A120" i="3"/>
  <c r="C120" i="3" s="1"/>
  <c r="A119" i="3"/>
  <c r="C119" i="3" s="1"/>
  <c r="A118" i="3"/>
  <c r="C118" i="3" s="1"/>
  <c r="A117" i="3"/>
  <c r="C117" i="3" s="1"/>
  <c r="A116" i="3"/>
  <c r="C116" i="3" s="1"/>
  <c r="A115" i="3"/>
  <c r="C115" i="3" s="1"/>
  <c r="A114" i="3"/>
  <c r="C114" i="3" s="1"/>
  <c r="A113" i="3"/>
  <c r="C113" i="3" s="1"/>
  <c r="A112" i="3"/>
  <c r="C112" i="3" s="1"/>
  <c r="A111" i="3"/>
  <c r="C111" i="3" s="1"/>
  <c r="A110" i="3"/>
  <c r="C110" i="3" s="1"/>
  <c r="A109" i="3"/>
  <c r="C109" i="3" s="1"/>
  <c r="A108" i="3"/>
  <c r="C108" i="3" s="1"/>
  <c r="A107" i="3"/>
  <c r="C107" i="3" s="1"/>
  <c r="A106" i="3"/>
  <c r="C106" i="3" s="1"/>
  <c r="A105" i="3"/>
  <c r="C105" i="3" s="1"/>
  <c r="A104" i="3"/>
  <c r="C104" i="3" s="1"/>
  <c r="A103" i="3"/>
  <c r="C103" i="3" s="1"/>
  <c r="A102" i="3"/>
  <c r="C102" i="3" s="1"/>
  <c r="A101" i="3"/>
  <c r="C101" i="3" s="1"/>
  <c r="A100" i="3"/>
  <c r="C100" i="3" s="1"/>
  <c r="A99" i="3"/>
  <c r="C99" i="3" s="1"/>
  <c r="A98" i="3"/>
  <c r="C98" i="3" s="1"/>
  <c r="A97" i="3"/>
  <c r="C97" i="3" s="1"/>
  <c r="A96" i="3"/>
  <c r="C96" i="3" s="1"/>
  <c r="A95" i="3"/>
  <c r="C95" i="3" s="1"/>
  <c r="A94" i="3"/>
  <c r="C94" i="3" s="1"/>
  <c r="A93" i="3"/>
  <c r="C93" i="3" s="1"/>
  <c r="A92" i="3"/>
  <c r="C92" i="3" s="1"/>
  <c r="A91" i="3"/>
  <c r="C91" i="3" s="1"/>
  <c r="A90" i="3"/>
  <c r="C90" i="3" s="1"/>
  <c r="A89" i="3"/>
  <c r="C89" i="3" s="1"/>
  <c r="A88" i="3"/>
  <c r="C88" i="3" s="1"/>
  <c r="A87" i="3"/>
  <c r="C87" i="3" s="1"/>
  <c r="A86" i="3"/>
  <c r="C86" i="3" s="1"/>
  <c r="A85" i="3"/>
  <c r="C85" i="3" s="1"/>
  <c r="A84" i="3"/>
  <c r="C84" i="3" s="1"/>
  <c r="A83" i="3"/>
  <c r="C83" i="3" s="1"/>
  <c r="A82" i="3"/>
  <c r="C82" i="3" s="1"/>
  <c r="A81" i="3"/>
  <c r="C81" i="3" s="1"/>
  <c r="A80" i="3"/>
  <c r="C80" i="3" s="1"/>
  <c r="A79" i="3"/>
  <c r="C79" i="3" s="1"/>
  <c r="A78" i="3"/>
  <c r="C78" i="3" s="1"/>
  <c r="A77" i="3"/>
  <c r="C77" i="3" s="1"/>
  <c r="A76" i="3"/>
  <c r="C76" i="3" s="1"/>
  <c r="A75" i="3"/>
  <c r="C75" i="3" s="1"/>
  <c r="A74" i="3"/>
  <c r="C74" i="3" s="1"/>
  <c r="A73" i="3"/>
  <c r="C73" i="3" s="1"/>
  <c r="A72" i="3"/>
  <c r="C72" i="3" s="1"/>
  <c r="A71" i="3"/>
  <c r="C71" i="3" s="1"/>
  <c r="A70" i="3"/>
  <c r="C70" i="3" s="1"/>
  <c r="A69" i="3"/>
  <c r="C69" i="3" s="1"/>
  <c r="A68" i="3"/>
  <c r="C68" i="3" s="1"/>
  <c r="A67" i="3"/>
  <c r="C67" i="3" s="1"/>
  <c r="A66" i="3"/>
  <c r="C66" i="3" s="1"/>
  <c r="A65" i="3"/>
  <c r="C65" i="3" s="1"/>
  <c r="A64" i="3"/>
  <c r="C64" i="3" s="1"/>
  <c r="A63" i="3"/>
  <c r="C63" i="3" s="1"/>
  <c r="A62" i="3"/>
  <c r="C62" i="3" s="1"/>
  <c r="A61" i="3"/>
  <c r="C61" i="3" s="1"/>
  <c r="A60" i="3"/>
  <c r="C60" i="3" s="1"/>
  <c r="A59" i="3"/>
  <c r="C59" i="3" s="1"/>
  <c r="A58" i="3"/>
  <c r="C58" i="3" s="1"/>
  <c r="A57" i="3"/>
  <c r="C57" i="3" s="1"/>
  <c r="A56" i="3"/>
  <c r="C56" i="3" s="1"/>
  <c r="A55" i="3"/>
  <c r="C55" i="3" s="1"/>
  <c r="A54" i="3"/>
  <c r="C54" i="3" s="1"/>
  <c r="A53" i="3"/>
  <c r="C53" i="3" s="1"/>
  <c r="A52" i="3"/>
  <c r="C52" i="3" s="1"/>
  <c r="A51" i="3"/>
  <c r="C51" i="3" s="1"/>
  <c r="A50" i="3"/>
  <c r="C50" i="3" s="1"/>
  <c r="A49" i="3"/>
  <c r="C49" i="3" s="1"/>
  <c r="A48" i="3"/>
  <c r="C48" i="3" s="1"/>
  <c r="A47" i="3"/>
  <c r="C47" i="3" s="1"/>
  <c r="A46" i="3"/>
  <c r="C46" i="3" s="1"/>
  <c r="A45" i="3"/>
  <c r="C45" i="3" s="1"/>
  <c r="A44" i="3"/>
  <c r="C44" i="3" s="1"/>
  <c r="A43" i="3"/>
  <c r="C43" i="3" s="1"/>
  <c r="A42" i="3"/>
  <c r="C42" i="3" s="1"/>
  <c r="A41" i="3"/>
  <c r="C41" i="3" s="1"/>
  <c r="A40" i="3"/>
  <c r="C40" i="3" s="1"/>
  <c r="A39" i="3"/>
  <c r="C39" i="3" s="1"/>
  <c r="A38" i="3"/>
  <c r="C38" i="3" s="1"/>
  <c r="A37" i="3"/>
  <c r="C37" i="3" s="1"/>
  <c r="A36" i="3"/>
  <c r="C36" i="3" s="1"/>
  <c r="A35" i="3"/>
  <c r="C35" i="3" s="1"/>
  <c r="A34" i="3"/>
  <c r="C34" i="3" s="1"/>
  <c r="A33" i="3"/>
  <c r="C33" i="3" s="1"/>
  <c r="A32" i="3"/>
  <c r="C32" i="3" s="1"/>
  <c r="A31" i="3"/>
  <c r="C31" i="3" s="1"/>
  <c r="A30" i="3"/>
  <c r="C30" i="3" s="1"/>
  <c r="A29" i="3"/>
  <c r="C29" i="3" s="1"/>
  <c r="A28" i="3"/>
  <c r="C28" i="3" s="1"/>
  <c r="A27" i="3"/>
  <c r="C27" i="3" s="1"/>
  <c r="A26" i="3"/>
  <c r="C26" i="3" s="1"/>
  <c r="A25" i="3"/>
  <c r="C25" i="3" s="1"/>
  <c r="A24" i="3"/>
  <c r="C24" i="3" s="1"/>
  <c r="A23" i="3"/>
  <c r="C23" i="3" s="1"/>
  <c r="A22" i="3"/>
  <c r="C22" i="3" s="1"/>
  <c r="A21" i="3"/>
  <c r="C21" i="3" s="1"/>
  <c r="A20" i="3"/>
  <c r="C20" i="3" s="1"/>
  <c r="A19" i="3"/>
  <c r="C19" i="3" s="1"/>
  <c r="A18" i="3"/>
  <c r="C18" i="3" s="1"/>
  <c r="A17" i="3"/>
  <c r="C17" i="3" s="1"/>
  <c r="A16" i="3"/>
  <c r="C16" i="3" s="1"/>
  <c r="A15" i="3"/>
  <c r="C15" i="3" s="1"/>
  <c r="A14" i="3"/>
  <c r="C14" i="3" s="1"/>
  <c r="A13" i="3"/>
  <c r="C13" i="3" s="1"/>
  <c r="A12" i="3"/>
  <c r="C12" i="3" s="1"/>
  <c r="A11" i="3"/>
  <c r="C11" i="3" s="1"/>
  <c r="A10" i="3"/>
  <c r="C10" i="3" s="1"/>
  <c r="A9" i="3"/>
  <c r="C9" i="3" s="1"/>
  <c r="A8" i="3"/>
  <c r="C8" i="3" s="1"/>
  <c r="A7" i="3"/>
  <c r="C7" i="3" s="1"/>
  <c r="A6" i="3"/>
  <c r="C6" i="3" s="1"/>
  <c r="A5" i="3"/>
  <c r="C5" i="3" s="1"/>
  <c r="A4" i="3"/>
  <c r="C4" i="3" s="1"/>
  <c r="A3" i="3"/>
  <c r="C3" i="3" s="1"/>
  <c r="A2" i="3"/>
  <c r="C2" i="3" s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3" i="1"/>
  <c r="A4" i="1"/>
  <c r="A5" i="1"/>
  <c r="A6" i="1"/>
  <c r="A7" i="1"/>
  <c r="A8" i="1"/>
  <c r="A9" i="1"/>
  <c r="A10" i="1"/>
  <c r="A11" i="1"/>
  <c r="A12" i="1"/>
  <c r="A13" i="1"/>
  <c r="A2" i="1"/>
  <c r="K7" i="3" l="1"/>
  <c r="M7" i="3"/>
  <c r="K13" i="3"/>
  <c r="K16" i="3" s="1"/>
  <c r="M13" i="3"/>
  <c r="M1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<sst xmlns="http://schemas.openxmlformats.org/spreadsheetml/2006/main" count="4384" uniqueCount="2598">
  <si>
    <t>TSCEI1</t>
  </si>
  <si>
    <t>TSCEI2</t>
  </si>
  <si>
    <t>TSCEI3</t>
  </si>
  <si>
    <t>TSCEI4</t>
  </si>
  <si>
    <t>TSCEI5</t>
  </si>
  <si>
    <t>TSCEI6</t>
  </si>
  <si>
    <t>lab_id</t>
  </si>
  <si>
    <t>petro_no</t>
  </si>
  <si>
    <t>lt_age</t>
  </si>
  <si>
    <t>notes</t>
  </si>
  <si>
    <t>may be overpolished, not confident</t>
  </si>
  <si>
    <t>TSCEJ1</t>
  </si>
  <si>
    <t>TSCEJ2</t>
  </si>
  <si>
    <t>TSCEJ3</t>
  </si>
  <si>
    <t>TSCEJ4</t>
  </si>
  <si>
    <t>TSCEJ5</t>
  </si>
  <si>
    <t>TSCEJ6</t>
  </si>
  <si>
    <t>V</t>
  </si>
  <si>
    <t>TSCEE6</t>
  </si>
  <si>
    <t>SC_05_50006E</t>
  </si>
  <si>
    <t>TSCEE4</t>
  </si>
  <si>
    <t>SC_05_50007E</t>
  </si>
  <si>
    <t>TSCEE3</t>
  </si>
  <si>
    <t>SC_05_50015E</t>
  </si>
  <si>
    <t>TSCEE2</t>
  </si>
  <si>
    <t>SC_05_50017E</t>
  </si>
  <si>
    <t>TSCEE1</t>
  </si>
  <si>
    <t>SC_05_50022E</t>
  </si>
  <si>
    <t>TSCEG1</t>
  </si>
  <si>
    <t>SC_06_50012E</t>
  </si>
  <si>
    <t>TSCEF5</t>
  </si>
  <si>
    <t>SC_06_50015E</t>
  </si>
  <si>
    <t>TSCEF6</t>
  </si>
  <si>
    <t>SC_06_50016E</t>
  </si>
  <si>
    <t>TSCEF4</t>
  </si>
  <si>
    <t>SC_06_50017E</t>
  </si>
  <si>
    <t>TSCEF3</t>
  </si>
  <si>
    <t>SC_06_50018E</t>
  </si>
  <si>
    <t>TSCEF2</t>
  </si>
  <si>
    <t>SC_06_50019E</t>
  </si>
  <si>
    <t>TSCEF1</t>
  </si>
  <si>
    <t>SC_06_50020E</t>
  </si>
  <si>
    <t>TSCEE5</t>
  </si>
  <si>
    <t>SC_06_50023E</t>
  </si>
  <si>
    <t>TSCEG2</t>
  </si>
  <si>
    <t>SC_06_50024E</t>
  </si>
  <si>
    <t>TSCEG3</t>
  </si>
  <si>
    <t>SC_06_50025E</t>
  </si>
  <si>
    <t>TSCEG4</t>
  </si>
  <si>
    <t>SC_06_50026E</t>
  </si>
  <si>
    <t>TSCEG5</t>
  </si>
  <si>
    <t>SC_06_50027E</t>
  </si>
  <si>
    <t>TSCEG6</t>
  </si>
  <si>
    <t>SC_06_50028E</t>
  </si>
  <si>
    <t>TSCEH1</t>
  </si>
  <si>
    <t>SC_06_50029E</t>
  </si>
  <si>
    <t>TSCEH2</t>
  </si>
  <si>
    <t>SC_06_50030E</t>
  </si>
  <si>
    <t>TSCEH3</t>
  </si>
  <si>
    <t>SC_06_50031E</t>
  </si>
  <si>
    <t>TSCEH4</t>
  </si>
  <si>
    <t>SC_06_50032E</t>
  </si>
  <si>
    <t>TSCEH5</t>
  </si>
  <si>
    <t>SC_06_50033E</t>
  </si>
  <si>
    <t>TSCEH6</t>
  </si>
  <si>
    <t>SC_06_50034E</t>
  </si>
  <si>
    <t>SC_06_50035E</t>
  </si>
  <si>
    <t>SC_06_50036E</t>
  </si>
  <si>
    <t>SC_06_50037E</t>
  </si>
  <si>
    <t>SC_06_50040E</t>
  </si>
  <si>
    <t>SC_06_50042E</t>
  </si>
  <si>
    <t>SC_06_50044E</t>
  </si>
  <si>
    <t>SC_06_50045E</t>
  </si>
  <si>
    <t>SC_06_50046E</t>
  </si>
  <si>
    <t>SC_06_50047E</t>
  </si>
  <si>
    <t>SC_06_50048E</t>
  </si>
  <si>
    <t>SC_06_50051E</t>
  </si>
  <si>
    <t>SC_06_50052E</t>
  </si>
  <si>
    <t>TSCEK1</t>
  </si>
  <si>
    <t>SC_06_50053E</t>
  </si>
  <si>
    <t>TSCEK2</t>
  </si>
  <si>
    <t>SC_06_50054E</t>
  </si>
  <si>
    <t>TSCEK3</t>
  </si>
  <si>
    <t>SC_06_50100E</t>
  </si>
  <si>
    <t>TSCEK4</t>
  </si>
  <si>
    <t>SC_06_50101E</t>
  </si>
  <si>
    <t>TSCEK5</t>
  </si>
  <si>
    <t>SC_06_50102E</t>
  </si>
  <si>
    <t>TSCEK6</t>
  </si>
  <si>
    <t>SC_06_50103E</t>
  </si>
  <si>
    <t>TSCEL1</t>
  </si>
  <si>
    <t>SC_07_50003E</t>
  </si>
  <si>
    <t>TSCEL2</t>
  </si>
  <si>
    <t>SC_07_50005E</t>
  </si>
  <si>
    <t>TSCEL3</t>
  </si>
  <si>
    <t>SC_07_50006E</t>
  </si>
  <si>
    <t>TSCEL4</t>
  </si>
  <si>
    <t>SC_07_50007E</t>
  </si>
  <si>
    <t>TSCEL5</t>
  </si>
  <si>
    <t>SC_07_50009E</t>
  </si>
  <si>
    <t>TSCEL6</t>
  </si>
  <si>
    <t>SC_07_50010E</t>
  </si>
  <si>
    <t>TSCEM1</t>
  </si>
  <si>
    <t>SC_07_50015E</t>
  </si>
  <si>
    <t>TSCEM2</t>
  </si>
  <si>
    <t>SC_07_50016E</t>
  </si>
  <si>
    <t>TSCEM3</t>
  </si>
  <si>
    <t>SC_07_50017E</t>
  </si>
  <si>
    <t>TSCEM4</t>
  </si>
  <si>
    <t>SC_07_50018E</t>
  </si>
  <si>
    <t>TSCEM5</t>
  </si>
  <si>
    <t>SC_07_50019E</t>
  </si>
  <si>
    <t>TSCEM6</t>
  </si>
  <si>
    <t>SC_07_50020E</t>
  </si>
  <si>
    <t>TSCEN1</t>
  </si>
  <si>
    <t>SC_07_50021E</t>
  </si>
  <si>
    <t>TSCEN2</t>
  </si>
  <si>
    <t>SC_07_50022E</t>
  </si>
  <si>
    <t>TSCEN3</t>
  </si>
  <si>
    <t>SC_07_50024E</t>
  </si>
  <si>
    <t>TSCEN4</t>
  </si>
  <si>
    <t>SC_07_50025E</t>
  </si>
  <si>
    <t>TSCEN5</t>
  </si>
  <si>
    <t>SC_07_50026E</t>
  </si>
  <si>
    <t>TSCEN6</t>
  </si>
  <si>
    <t>SC_07_50027E</t>
  </si>
  <si>
    <t>TSCEO1</t>
  </si>
  <si>
    <t>SC_07_50028E</t>
  </si>
  <si>
    <t>TSCEO2</t>
  </si>
  <si>
    <t>SC_07_50031E</t>
  </si>
  <si>
    <t>TSCEO3</t>
  </si>
  <si>
    <t>SC_07_50032E</t>
  </si>
  <si>
    <t>TSCEO4</t>
  </si>
  <si>
    <t>SC_07_50033E</t>
  </si>
  <si>
    <t>TSCEO5</t>
  </si>
  <si>
    <t>SC_07_50034E</t>
  </si>
  <si>
    <t>TSCEO6</t>
  </si>
  <si>
    <t>SC_07_50040E</t>
  </si>
  <si>
    <t>TSCEP1</t>
  </si>
  <si>
    <t>SC_07_50041E</t>
  </si>
  <si>
    <t>TSCEP2</t>
  </si>
  <si>
    <t>SC_07_50042E</t>
  </si>
  <si>
    <t>TSCEP3</t>
  </si>
  <si>
    <t>SC_07_50043E</t>
  </si>
  <si>
    <t>TSCEP4</t>
  </si>
  <si>
    <t>SC_07_50044E</t>
  </si>
  <si>
    <t>TSCEP5</t>
  </si>
  <si>
    <t>SC_07_50046E</t>
  </si>
  <si>
    <t>TSCEP6</t>
  </si>
  <si>
    <t>SC_07_50047E</t>
  </si>
  <si>
    <t>TSCEQ1</t>
  </si>
  <si>
    <t>SC_07_50048E</t>
  </si>
  <si>
    <t>TSCEQ2</t>
  </si>
  <si>
    <t>SC_07_50049E</t>
  </si>
  <si>
    <t>TSCEQ3</t>
  </si>
  <si>
    <t>SC_07_50050E</t>
  </si>
  <si>
    <t>TSCEQ4</t>
  </si>
  <si>
    <t>SC_07_50054E</t>
  </si>
  <si>
    <t>TSCFC6</t>
  </si>
  <si>
    <t>SC_07_50055E</t>
  </si>
  <si>
    <t>TSCFB3</t>
  </si>
  <si>
    <t>SC_07_50056E</t>
  </si>
  <si>
    <t>TSCFA2</t>
  </si>
  <si>
    <t>SC_07_50057E</t>
  </si>
  <si>
    <t>TSCDY6</t>
  </si>
  <si>
    <t>SC_07_50058E</t>
  </si>
  <si>
    <t>TSCFD1</t>
  </si>
  <si>
    <t>SC_08_50005E</t>
  </si>
  <si>
    <t>TSCFB4</t>
  </si>
  <si>
    <t>SC_08_50006E</t>
  </si>
  <si>
    <t>TSCFA3</t>
  </si>
  <si>
    <t>SC_08_50007E</t>
  </si>
  <si>
    <t>TSCDZ2</t>
  </si>
  <si>
    <t>SC_08_50016E</t>
  </si>
  <si>
    <t>TSCDX5</t>
  </si>
  <si>
    <t>SC_08_50017E</t>
  </si>
  <si>
    <t>TSCFD2</t>
  </si>
  <si>
    <t>SC_09_50001E</t>
  </si>
  <si>
    <t>TSCFB5</t>
  </si>
  <si>
    <t>SC_09_50003E</t>
  </si>
  <si>
    <t>TSCFA4</t>
  </si>
  <si>
    <t>SC_09_50004E</t>
  </si>
  <si>
    <t>TSCDZ1</t>
  </si>
  <si>
    <t>SC_09_50005E</t>
  </si>
  <si>
    <t>TSCDX6</t>
  </si>
  <si>
    <t>SC_09_50006E</t>
  </si>
  <si>
    <t>TSCDW5</t>
  </si>
  <si>
    <t>SC_09_50007E</t>
  </si>
  <si>
    <t>TSCDV5</t>
  </si>
  <si>
    <t>SC_09_50008E</t>
  </si>
  <si>
    <t>TSCDU5</t>
  </si>
  <si>
    <t>SC_09_50009E</t>
  </si>
  <si>
    <t>TSCDT5</t>
  </si>
  <si>
    <t>SC_09_50011E</t>
  </si>
  <si>
    <t>TSCDS6</t>
  </si>
  <si>
    <t>SC_09_50012E</t>
  </si>
  <si>
    <t>TSCFD3</t>
  </si>
  <si>
    <t>SC_09_50013E</t>
  </si>
  <si>
    <t>TSCFB6</t>
  </si>
  <si>
    <t>SC_09_50014E</t>
  </si>
  <si>
    <t>TSCFA5</t>
  </si>
  <si>
    <t>SC_09_50015E</t>
  </si>
  <si>
    <t>TSCDZ3</t>
  </si>
  <si>
    <t>SC_09_50016E</t>
  </si>
  <si>
    <t>TSCDY1</t>
  </si>
  <si>
    <t>SC_09_50017E</t>
  </si>
  <si>
    <t>TSCDW6</t>
  </si>
  <si>
    <t>SC_09_50021E</t>
  </si>
  <si>
    <t>TSCDV6</t>
  </si>
  <si>
    <t>SC_09_50022E</t>
  </si>
  <si>
    <t>TSCDU6</t>
  </si>
  <si>
    <t>SC_09_50023E</t>
  </si>
  <si>
    <t>TSCDT6</t>
  </si>
  <si>
    <t>SC_09_50024E</t>
  </si>
  <si>
    <t>TSCDT1</t>
  </si>
  <si>
    <t>SC_09_51009E</t>
  </si>
  <si>
    <t>TSCAA1</t>
  </si>
  <si>
    <t>SC_09062011_001</t>
  </si>
  <si>
    <t>TSCAA2</t>
  </si>
  <si>
    <t>SC_09062011_003</t>
  </si>
  <si>
    <t>TSCAA3</t>
  </si>
  <si>
    <t>SC_09062011_004</t>
  </si>
  <si>
    <t>TSCAA4</t>
  </si>
  <si>
    <t>SC_09132011_002</t>
  </si>
  <si>
    <t>TSCAA5</t>
  </si>
  <si>
    <t>SC_09192011_001</t>
  </si>
  <si>
    <t>TSCAA6</t>
  </si>
  <si>
    <t>SC_09192011_012</t>
  </si>
  <si>
    <t>TSCAB1</t>
  </si>
  <si>
    <t>SC_09192011_102</t>
  </si>
  <si>
    <t>TSCAB2</t>
  </si>
  <si>
    <t>SC_09192011_112</t>
  </si>
  <si>
    <t>TSCAB3</t>
  </si>
  <si>
    <t>SC_09192011_117</t>
  </si>
  <si>
    <t>TSCAB4</t>
  </si>
  <si>
    <t>SC_09202011_001</t>
  </si>
  <si>
    <t>TSCAB5</t>
  </si>
  <si>
    <t>SC_09202011_005</t>
  </si>
  <si>
    <t>TSCAB6</t>
  </si>
  <si>
    <t>SC_09202011_101</t>
  </si>
  <si>
    <t>TSCAC1</t>
  </si>
  <si>
    <t>SC_09202011_102</t>
  </si>
  <si>
    <t>TSCAC2</t>
  </si>
  <si>
    <t>SC_09202011_103</t>
  </si>
  <si>
    <t>TSCAC3</t>
  </si>
  <si>
    <t>SC_09202011_106</t>
  </si>
  <si>
    <t>TSCAC4</t>
  </si>
  <si>
    <t>SC_09262011_013</t>
  </si>
  <si>
    <t>TSCAC5</t>
  </si>
  <si>
    <t>SC_09262011_107</t>
  </si>
  <si>
    <t>TSCAC6</t>
  </si>
  <si>
    <t>SC_09262011_111</t>
  </si>
  <si>
    <t>TSCAD1</t>
  </si>
  <si>
    <t>SC_09262011_201</t>
  </si>
  <si>
    <t>TSCAD2</t>
  </si>
  <si>
    <t>SC_09262011_203</t>
  </si>
  <si>
    <t>TSCAD3</t>
  </si>
  <si>
    <t>SC_09262011_206</t>
  </si>
  <si>
    <t>TSCAD4</t>
  </si>
  <si>
    <t>SC_09262011_210</t>
  </si>
  <si>
    <t>TSCAD5</t>
  </si>
  <si>
    <t>SC_09262011_214</t>
  </si>
  <si>
    <t>TSCAD6</t>
  </si>
  <si>
    <t>SC_09272011_100</t>
  </si>
  <si>
    <t>TSCCA1</t>
  </si>
  <si>
    <t>SC_09302019_111</t>
  </si>
  <si>
    <t>TSCCA2</t>
  </si>
  <si>
    <t>SC_09302019_124</t>
  </si>
  <si>
    <t>TSCFC1</t>
  </si>
  <si>
    <t>SC_10_50000E</t>
  </si>
  <si>
    <t>TSCFA6</t>
  </si>
  <si>
    <t>SC_10_50002E</t>
  </si>
  <si>
    <t>TSCDZ4</t>
  </si>
  <si>
    <t>SC_10_50003E</t>
  </si>
  <si>
    <t>TSCDY2</t>
  </si>
  <si>
    <t>SC_10_50004E</t>
  </si>
  <si>
    <t>TSCDX1</t>
  </si>
  <si>
    <t>SC_10_50005E</t>
  </si>
  <si>
    <t>TSCDW1</t>
  </si>
  <si>
    <t>SC_10_50006E</t>
  </si>
  <si>
    <t>TSCDV1</t>
  </si>
  <si>
    <t>SC_10_50007E</t>
  </si>
  <si>
    <t>TSCDU1</t>
  </si>
  <si>
    <t>SC_10_50008E</t>
  </si>
  <si>
    <t>TSCDT2</t>
  </si>
  <si>
    <t>SC_10_50009E</t>
  </si>
  <si>
    <t>TSCFD4</t>
  </si>
  <si>
    <t>SC_10_50010E</t>
  </si>
  <si>
    <t>TSCFE2</t>
  </si>
  <si>
    <t>SC_10_50011E</t>
  </si>
  <si>
    <t>TSCFB1</t>
  </si>
  <si>
    <t>SC_10_50012E</t>
  </si>
  <si>
    <t>TSCDZ5</t>
  </si>
  <si>
    <t>SC_10_50013E</t>
  </si>
  <si>
    <t>TSCDY3</t>
  </si>
  <si>
    <t>SC_10_50014E</t>
  </si>
  <si>
    <t>TSCDX2</t>
  </si>
  <si>
    <t>SC_10_50050E</t>
  </si>
  <si>
    <t>TSCDW2</t>
  </si>
  <si>
    <t>SC_10_50052E</t>
  </si>
  <si>
    <t>TSCDV2</t>
  </si>
  <si>
    <t>SC_10_50054E</t>
  </si>
  <si>
    <t>TSCDU2</t>
  </si>
  <si>
    <t>SC_10_50055E</t>
  </si>
  <si>
    <t>TSCFC2</t>
  </si>
  <si>
    <t>SC_10_50057E</t>
  </si>
  <si>
    <t>TSCFB2</t>
  </si>
  <si>
    <t>SC_10_50058E</t>
  </si>
  <si>
    <t>TSCDZ6</t>
  </si>
  <si>
    <t>SC_10_50059E</t>
  </si>
  <si>
    <t>TSCDY4</t>
  </si>
  <si>
    <t>SC_10_50060E</t>
  </si>
  <si>
    <t>TSCDX3</t>
  </si>
  <si>
    <t>SC_10_50061E</t>
  </si>
  <si>
    <t>TSCDW3</t>
  </si>
  <si>
    <t>SC_10_50063E</t>
  </si>
  <si>
    <t>TSCDV3</t>
  </si>
  <si>
    <t>SC_10_50065E</t>
  </si>
  <si>
    <t>TSCDU3</t>
  </si>
  <si>
    <t>SC_10_50066E</t>
  </si>
  <si>
    <t>TSCDT3</t>
  </si>
  <si>
    <t>SC_10_50068E</t>
  </si>
  <si>
    <t>TSCFD5</t>
  </si>
  <si>
    <t>SC_10_50069E</t>
  </si>
  <si>
    <t>TSCFC3</t>
  </si>
  <si>
    <t>SC_10_50071E</t>
  </si>
  <si>
    <t>TSCBB6</t>
  </si>
  <si>
    <t>SC_10012018_032</t>
  </si>
  <si>
    <t>TSCAX5</t>
  </si>
  <si>
    <t>SC_10012018_042</t>
  </si>
  <si>
    <t>TSCBE3</t>
  </si>
  <si>
    <t>SC_10012018_051</t>
  </si>
  <si>
    <t>TSCBB1</t>
  </si>
  <si>
    <t>SC_10012018_067</t>
  </si>
  <si>
    <t>TSCBB5</t>
  </si>
  <si>
    <t>SC_10012018_068</t>
  </si>
  <si>
    <t>TSCBN4</t>
  </si>
  <si>
    <t>SC_10012018_071</t>
  </si>
  <si>
    <t>TSCBF3</t>
  </si>
  <si>
    <t>SC_10012018_079</t>
  </si>
  <si>
    <t>TSCBO1</t>
  </si>
  <si>
    <t>SC_10012018_087</t>
  </si>
  <si>
    <t>TSCBH4</t>
  </si>
  <si>
    <t>SC_10012018_091</t>
  </si>
  <si>
    <t>TSCBO3</t>
  </si>
  <si>
    <t>SC_10012018_100</t>
  </si>
  <si>
    <t>TSCBM3</t>
  </si>
  <si>
    <t>SC_10012018_126</t>
  </si>
  <si>
    <t>TSCAV6</t>
  </si>
  <si>
    <t>SC_10022018_029</t>
  </si>
  <si>
    <t>TSCAE1</t>
  </si>
  <si>
    <t>SC_10032011_100</t>
  </si>
  <si>
    <t>TSCAE2</t>
  </si>
  <si>
    <t>SC_10032011_111</t>
  </si>
  <si>
    <t>TSCAE3</t>
  </si>
  <si>
    <t>SC_10032011_112</t>
  </si>
  <si>
    <t>TSCAE4</t>
  </si>
  <si>
    <t>SC_10032011_113</t>
  </si>
  <si>
    <t>TSCAE5</t>
  </si>
  <si>
    <t>SC_10032011_201</t>
  </si>
  <si>
    <t>TSCAE6</t>
  </si>
  <si>
    <t>SC_10032011_210</t>
  </si>
  <si>
    <t>TSCAF1</t>
  </si>
  <si>
    <t>SC_10042011_003</t>
  </si>
  <si>
    <t>TSCCA3</t>
  </si>
  <si>
    <t>SC_10072019_114</t>
  </si>
  <si>
    <t>TSCCA4</t>
  </si>
  <si>
    <t>SC_10072019_150</t>
  </si>
  <si>
    <t>TSCCA5</t>
  </si>
  <si>
    <t>SC_10072019_157</t>
  </si>
  <si>
    <t>TSCAY2</t>
  </si>
  <si>
    <t>SC_10082018_010</t>
  </si>
  <si>
    <t>TSCAZ1</t>
  </si>
  <si>
    <t>SC_10082018_016</t>
  </si>
  <si>
    <t>TSCAZ2</t>
  </si>
  <si>
    <t>SC_10082018_018</t>
  </si>
  <si>
    <t>TSCAW3</t>
  </si>
  <si>
    <t>SC_10082018_020</t>
  </si>
  <si>
    <t>TSCAW4</t>
  </si>
  <si>
    <t>SC_10082018_022</t>
  </si>
  <si>
    <t>TSCAX3</t>
  </si>
  <si>
    <t>SC_10082018_023</t>
  </si>
  <si>
    <t>TSCAX6</t>
  </si>
  <si>
    <t>SC_10082018_024</t>
  </si>
  <si>
    <t>TSCAX2</t>
  </si>
  <si>
    <t>SC_10082018_026</t>
  </si>
  <si>
    <t>TSCAX1</t>
  </si>
  <si>
    <t>SC_10082018_045</t>
  </si>
  <si>
    <t>TSCBA6</t>
  </si>
  <si>
    <t>SC_10082018_048</t>
  </si>
  <si>
    <t>TSCAX4</t>
  </si>
  <si>
    <t>SC_10082018_058</t>
  </si>
  <si>
    <t>TSCAW1</t>
  </si>
  <si>
    <t>SC_10082018_062</t>
  </si>
  <si>
    <t>TSCAV5</t>
  </si>
  <si>
    <t>SC_10082018_063</t>
  </si>
  <si>
    <t>TSCAW6</t>
  </si>
  <si>
    <t>SC_10082018_069</t>
  </si>
  <si>
    <t>TSCAW2</t>
  </si>
  <si>
    <t>SC_10082018_081</t>
  </si>
  <si>
    <t>TSCAW5</t>
  </si>
  <si>
    <t>SC_10082018_086</t>
  </si>
  <si>
    <t>TSCAF2</t>
  </si>
  <si>
    <t>SC_10102011_105</t>
  </si>
  <si>
    <t>TSCAY1</t>
  </si>
  <si>
    <t>SC_10102018_060</t>
  </si>
  <si>
    <t>TSCAV4</t>
  </si>
  <si>
    <t>SC_10102018_097</t>
  </si>
  <si>
    <t>TSCAF3</t>
  </si>
  <si>
    <t>SC_10122011_101</t>
  </si>
  <si>
    <t>TSCAF4</t>
  </si>
  <si>
    <t>SC_10122011_200</t>
  </si>
  <si>
    <t>TSCAF5</t>
  </si>
  <si>
    <t>SC_10142011_003</t>
  </si>
  <si>
    <t>TSCAF6</t>
  </si>
  <si>
    <t>SC_10142011_014</t>
  </si>
  <si>
    <t>TSCAG1</t>
  </si>
  <si>
    <t>SC_10142011_018</t>
  </si>
  <si>
    <t>TSCAG2</t>
  </si>
  <si>
    <t>SC_10142011_024</t>
  </si>
  <si>
    <t>TSCAG3</t>
  </si>
  <si>
    <t>SC_10142011_028</t>
  </si>
  <si>
    <t>TSCCA6</t>
  </si>
  <si>
    <t>SC_10142019_109</t>
  </si>
  <si>
    <t>TSCCB2</t>
  </si>
  <si>
    <t>SC_10142019_147</t>
  </si>
  <si>
    <t>TSCCB4</t>
  </si>
  <si>
    <t>SC_10142019_153</t>
  </si>
  <si>
    <t>TSCCB5</t>
  </si>
  <si>
    <t>SC_10142019_189</t>
  </si>
  <si>
    <t>TSCCB1</t>
  </si>
  <si>
    <t>SC_10142019_300</t>
  </si>
  <si>
    <t>TSCCC1</t>
  </si>
  <si>
    <t>SC_10142019_307</t>
  </si>
  <si>
    <t>TSCCB3</t>
  </si>
  <si>
    <t>SC_10142019_347</t>
  </si>
  <si>
    <t>TSCCB6</t>
  </si>
  <si>
    <t>SC_10142019_349</t>
  </si>
  <si>
    <t>TSCAY4</t>
  </si>
  <si>
    <t>SC_10152018_165</t>
  </si>
  <si>
    <t>TSCAY6</t>
  </si>
  <si>
    <t>SC_10152018_167</t>
  </si>
  <si>
    <t>TSCAY3</t>
  </si>
  <si>
    <t>SC_10152018_177</t>
  </si>
  <si>
    <t>TSCAY5</t>
  </si>
  <si>
    <t>SC_10152018_188</t>
  </si>
  <si>
    <t>TSCCC5</t>
  </si>
  <si>
    <t>SC_10152019_118</t>
  </si>
  <si>
    <t>TSCCC6</t>
  </si>
  <si>
    <t>SC_10152019_336</t>
  </si>
  <si>
    <t>TSCCC2</t>
  </si>
  <si>
    <t>SC_10152019_337</t>
  </si>
  <si>
    <t>TSCCC4</t>
  </si>
  <si>
    <t>SC_10152019_341</t>
  </si>
  <si>
    <t>TSCAG4</t>
  </si>
  <si>
    <t>SC_10162011_105</t>
  </si>
  <si>
    <t>TSCAG5</t>
  </si>
  <si>
    <t>SC_10162011_301</t>
  </si>
  <si>
    <t>TSCAG6</t>
  </si>
  <si>
    <t>SC_10162011_305</t>
  </si>
  <si>
    <t>TSCAH1</t>
  </si>
  <si>
    <t>SC_10172011_001</t>
  </si>
  <si>
    <t>TSCAH2</t>
  </si>
  <si>
    <t>SC_10172011_200</t>
  </si>
  <si>
    <t>TSCAH3</t>
  </si>
  <si>
    <t>SC_10172011_202</t>
  </si>
  <si>
    <t>TSCAH4</t>
  </si>
  <si>
    <t>SC_10172011_205</t>
  </si>
  <si>
    <t>TSCBA4</t>
  </si>
  <si>
    <t>SC_10172018_050</t>
  </si>
  <si>
    <t>TSCAZ6</t>
  </si>
  <si>
    <t>SC_10172018_170</t>
  </si>
  <si>
    <t>TSCAZ5</t>
  </si>
  <si>
    <t>SC_10172018_184</t>
  </si>
  <si>
    <t>TSCBA1</t>
  </si>
  <si>
    <t>SC_10172018_201</t>
  </si>
  <si>
    <t>TSCBA5</t>
  </si>
  <si>
    <t>SC_10172018_226</t>
  </si>
  <si>
    <t>TSCBA3</t>
  </si>
  <si>
    <t>SC_10172018_227</t>
  </si>
  <si>
    <t>TSCAZ4</t>
  </si>
  <si>
    <t>SC_10172018_235</t>
  </si>
  <si>
    <t>TSCAZ3</t>
  </si>
  <si>
    <t>SC_10172018_248</t>
  </si>
  <si>
    <t>TSCBA2</t>
  </si>
  <si>
    <t>SC_10172018_299</t>
  </si>
  <si>
    <t>TSCAH5</t>
  </si>
  <si>
    <t>SC_10182011_200</t>
  </si>
  <si>
    <t>TSCBB3</t>
  </si>
  <si>
    <t>SC_10182018_003</t>
  </si>
  <si>
    <t>TSCBB2</t>
  </si>
  <si>
    <t>SC_10182018_190</t>
  </si>
  <si>
    <t>TSCBB4</t>
  </si>
  <si>
    <t>SC_10182018_213</t>
  </si>
  <si>
    <t>TSCAH6</t>
  </si>
  <si>
    <t>SC_10192011_001</t>
  </si>
  <si>
    <t>TSCAI1</t>
  </si>
  <si>
    <t>SC_10192011_005</t>
  </si>
  <si>
    <t>TSCAI2</t>
  </si>
  <si>
    <t>SC_10192011_103</t>
  </si>
  <si>
    <t>TSCAI3</t>
  </si>
  <si>
    <t>SC_10202011_004</t>
  </si>
  <si>
    <t>TSCAI4</t>
  </si>
  <si>
    <t>SC_10202011_005</t>
  </si>
  <si>
    <t>TSCAI5</t>
  </si>
  <si>
    <t>SC_10202011_009</t>
  </si>
  <si>
    <t>TSCAI6</t>
  </si>
  <si>
    <t>SC_10202011_011</t>
  </si>
  <si>
    <t>TSCAJ1</t>
  </si>
  <si>
    <t>SC_10202011_017</t>
  </si>
  <si>
    <t>TSCAJ2</t>
  </si>
  <si>
    <t>SC_10202011_018</t>
  </si>
  <si>
    <t>TSCAJ3</t>
  </si>
  <si>
    <t>SC_10202011_020</t>
  </si>
  <si>
    <t>TSCAJ4</t>
  </si>
  <si>
    <t>SC_10202011_022</t>
  </si>
  <si>
    <t>TSCAJ5</t>
  </si>
  <si>
    <t>SC_10202011_025</t>
  </si>
  <si>
    <t>TSCAJ6</t>
  </si>
  <si>
    <t>SC_10202011_028</t>
  </si>
  <si>
    <t>TSCAK1</t>
  </si>
  <si>
    <t>SC_10202011_033</t>
  </si>
  <si>
    <t>TSCAK2</t>
  </si>
  <si>
    <t>SC_10202011_035</t>
  </si>
  <si>
    <t>TSCAK3</t>
  </si>
  <si>
    <t>SC_10202011_043</t>
  </si>
  <si>
    <t>TSCAK4</t>
  </si>
  <si>
    <t>SC_10202011_044</t>
  </si>
  <si>
    <t>TSCAK5</t>
  </si>
  <si>
    <t>SC_10212011_001</t>
  </si>
  <si>
    <t>TSCBC4</t>
  </si>
  <si>
    <t>SC_10222018_015</t>
  </si>
  <si>
    <t>TSCBE1</t>
  </si>
  <si>
    <t>SC_10222018_025</t>
  </si>
  <si>
    <t>TSCBC2</t>
  </si>
  <si>
    <t>SC_10222018_040</t>
  </si>
  <si>
    <t>TSCBD3</t>
  </si>
  <si>
    <t>SC_10222018_047</t>
  </si>
  <si>
    <t>TSCBC1</t>
  </si>
  <si>
    <t>SC_10222018_208</t>
  </si>
  <si>
    <t>TSCBD1</t>
  </si>
  <si>
    <t>SC_10222018_217</t>
  </si>
  <si>
    <t>TSCBD4</t>
  </si>
  <si>
    <t>SC_10222018_218</t>
  </si>
  <si>
    <t>TSCBD5</t>
  </si>
  <si>
    <t>SC_10222018_225</t>
  </si>
  <si>
    <t>TSCBD6</t>
  </si>
  <si>
    <t>SC_10222018_240</t>
  </si>
  <si>
    <t>TSCBE2</t>
  </si>
  <si>
    <t>SC_10222018_241</t>
  </si>
  <si>
    <t>TSCBC3</t>
  </si>
  <si>
    <t>SC_10222018_242</t>
  </si>
  <si>
    <t>TSCBD2</t>
  </si>
  <si>
    <t>SC_10222018_245</t>
  </si>
  <si>
    <t>TSCBC6</t>
  </si>
  <si>
    <t>SC_10222018_247</t>
  </si>
  <si>
    <t>TSCBC5</t>
  </si>
  <si>
    <t>SC_10222018_249</t>
  </si>
  <si>
    <t>TSCCD1</t>
  </si>
  <si>
    <t>SC_10222019_206</t>
  </si>
  <si>
    <t>TSCCD3</t>
  </si>
  <si>
    <t>SC_10222019_211</t>
  </si>
  <si>
    <t>TSCCD2</t>
  </si>
  <si>
    <t>SC_10222019_232</t>
  </si>
  <si>
    <t>TSCCD4</t>
  </si>
  <si>
    <t>SC_10222019_234</t>
  </si>
  <si>
    <t>TSCCD5</t>
  </si>
  <si>
    <t>SC_10222019_248</t>
  </si>
  <si>
    <t>TSCCE3</t>
  </si>
  <si>
    <t>SC_10232019_215</t>
  </si>
  <si>
    <t>TSCCE2</t>
  </si>
  <si>
    <t>SC_10232019_329</t>
  </si>
  <si>
    <t>TSCCD6</t>
  </si>
  <si>
    <t>SC_10232019_345</t>
  </si>
  <si>
    <t>TSCCE1</t>
  </si>
  <si>
    <t>SC_10232019_372</t>
  </si>
  <si>
    <t>TSCCE4</t>
  </si>
  <si>
    <t>SC_10232019_373</t>
  </si>
  <si>
    <t>TSCCE5</t>
  </si>
  <si>
    <t>SC_10232019_378</t>
  </si>
  <si>
    <t>TSCBE5</t>
  </si>
  <si>
    <t>SC_10242018_102</t>
  </si>
  <si>
    <t>TSCBE4</t>
  </si>
  <si>
    <t>SC_10242018_144</t>
  </si>
  <si>
    <t>TSCBF1</t>
  </si>
  <si>
    <t>SC_10242018_148</t>
  </si>
  <si>
    <t>TSCBE6</t>
  </si>
  <si>
    <t>SC_10242018_150</t>
  </si>
  <si>
    <t>TSCBF2</t>
  </si>
  <si>
    <t>SC_10242018_244</t>
  </si>
  <si>
    <t>TSCCE6</t>
  </si>
  <si>
    <t>SC_10242019_230</t>
  </si>
  <si>
    <t>TSCAK6</t>
  </si>
  <si>
    <t>SC_10252011_108</t>
  </si>
  <si>
    <t>TSCAL1</t>
  </si>
  <si>
    <t>SC_10252011_204</t>
  </si>
  <si>
    <t>TSCBF4</t>
  </si>
  <si>
    <t>SC_10252018_175</t>
  </si>
  <si>
    <t>TSCBF6</t>
  </si>
  <si>
    <t>SC_10252018_219</t>
  </si>
  <si>
    <t>TSCBF5</t>
  </si>
  <si>
    <t>SC_10252018_224</t>
  </si>
  <si>
    <t>TSCCC3</t>
  </si>
  <si>
    <t>SC_10252019_298</t>
  </si>
  <si>
    <t>TSCAL2</t>
  </si>
  <si>
    <t>SC_10262011_001</t>
  </si>
  <si>
    <t>TSCAL3</t>
  </si>
  <si>
    <t>SC_10272011_005</t>
  </si>
  <si>
    <t>TSCAL4</t>
  </si>
  <si>
    <t>SC_10272011_013</t>
  </si>
  <si>
    <t>TSCAL5</t>
  </si>
  <si>
    <t>SC_10272011_017</t>
  </si>
  <si>
    <t>TSCAL6</t>
  </si>
  <si>
    <t>SC_10272011_304</t>
  </si>
  <si>
    <t>TSCAM1</t>
  </si>
  <si>
    <t>SC_10272011_308</t>
  </si>
  <si>
    <t>TSCAM2</t>
  </si>
  <si>
    <t>SC_10272011_312</t>
  </si>
  <si>
    <t>TSCAM3</t>
  </si>
  <si>
    <t>SC_10272011_313</t>
  </si>
  <si>
    <t>TSCAM4</t>
  </si>
  <si>
    <t>SC_10272011_320</t>
  </si>
  <si>
    <t>TSCAM5</t>
  </si>
  <si>
    <t>SC_10282011_013</t>
  </si>
  <si>
    <t>TSCAM6</t>
  </si>
  <si>
    <t>SC_10282011_206</t>
  </si>
  <si>
    <t>TSCAN1</t>
  </si>
  <si>
    <t>SC_10282011_215</t>
  </si>
  <si>
    <t>TSCCF1</t>
  </si>
  <si>
    <t>SC_10282019_401</t>
  </si>
  <si>
    <t>TSCBG1</t>
  </si>
  <si>
    <t>SC_10292018_285</t>
  </si>
  <si>
    <t>TSCBG2</t>
  </si>
  <si>
    <t>SC_10292018_293</t>
  </si>
  <si>
    <t>TSCCF3</t>
  </si>
  <si>
    <t>SC_10292019_233</t>
  </si>
  <si>
    <t>TSCCF2</t>
  </si>
  <si>
    <t>SC_10292019_251</t>
  </si>
  <si>
    <t>TSCCF4</t>
  </si>
  <si>
    <t>SC_10292019_254</t>
  </si>
  <si>
    <t>TSCBG6</t>
  </si>
  <si>
    <t>SC_10302018_127</t>
  </si>
  <si>
    <t>TSCBG3</t>
  </si>
  <si>
    <t>SC_10302018_181</t>
  </si>
  <si>
    <t>TSCBG5</t>
  </si>
  <si>
    <t>SC_10302018_253</t>
  </si>
  <si>
    <t>TSCBH2</t>
  </si>
  <si>
    <t>SC_10302018_266</t>
  </si>
  <si>
    <t>TSCBH1</t>
  </si>
  <si>
    <t>SC_10302018_278</t>
  </si>
  <si>
    <t>TSCBG4</t>
  </si>
  <si>
    <t>SC_10302018_286</t>
  </si>
  <si>
    <t>TSCBH3</t>
  </si>
  <si>
    <t>SC_10302018_294</t>
  </si>
  <si>
    <t>TSCCG2</t>
  </si>
  <si>
    <t>SC_10302019_253</t>
  </si>
  <si>
    <t>TSCCF5</t>
  </si>
  <si>
    <t>SC_10302019_264</t>
  </si>
  <si>
    <t>TSCCF6</t>
  </si>
  <si>
    <t>SC_10302019_361</t>
  </si>
  <si>
    <t>TSCCG1</t>
  </si>
  <si>
    <t>SC_10302019_393</t>
  </si>
  <si>
    <t>TSCCG4</t>
  </si>
  <si>
    <t>SC_10302019_458</t>
  </si>
  <si>
    <t>TSCCG3</t>
  </si>
  <si>
    <t>SC_10302019_460</t>
  </si>
  <si>
    <t>TSCCG6</t>
  </si>
  <si>
    <t>SC_10302019_468</t>
  </si>
  <si>
    <t>TSCCG5</t>
  </si>
  <si>
    <t>SC_10302019_470</t>
  </si>
  <si>
    <t>TSCAN2</t>
  </si>
  <si>
    <t>SC_10312011_103</t>
  </si>
  <si>
    <t>TSCCI3</t>
  </si>
  <si>
    <t>SC_10312019_288</t>
  </si>
  <si>
    <t>TSCCH5</t>
  </si>
  <si>
    <t>SC_10312019_290</t>
  </si>
  <si>
    <t>TSCCH4</t>
  </si>
  <si>
    <t>SC_10312019_291</t>
  </si>
  <si>
    <t>TSCCI2</t>
  </si>
  <si>
    <t>SC_10312019_356</t>
  </si>
  <si>
    <t>TSCCH2</t>
  </si>
  <si>
    <t>SC_10312019_359</t>
  </si>
  <si>
    <t>TSCCI1</t>
  </si>
  <si>
    <t>SC_10312019_386</t>
  </si>
  <si>
    <t>TSCCH3</t>
  </si>
  <si>
    <t>SC_10312019_471</t>
  </si>
  <si>
    <t>TSCCH1</t>
  </si>
  <si>
    <t>SC_10312019_475</t>
  </si>
  <si>
    <t>TSCCH6</t>
  </si>
  <si>
    <t>SC_10312019_498</t>
  </si>
  <si>
    <t>TSCFC4</t>
  </si>
  <si>
    <t>SC_11_50000E</t>
  </si>
  <si>
    <t>TSCFE1</t>
  </si>
  <si>
    <t>SC_11_50003E</t>
  </si>
  <si>
    <t>TSCFA1</t>
  </si>
  <si>
    <t>SC_11_50004E</t>
  </si>
  <si>
    <t>TSCDY5</t>
  </si>
  <si>
    <t>SC_11_50011E</t>
  </si>
  <si>
    <t>TSCDX4</t>
  </si>
  <si>
    <t>SC_11_50012E</t>
  </si>
  <si>
    <t>TSCDW4</t>
  </si>
  <si>
    <t>SC_11_50013E</t>
  </si>
  <si>
    <t>TSCDV4</t>
  </si>
  <si>
    <t>SC_11_50014E</t>
  </si>
  <si>
    <t>TSCDU4</t>
  </si>
  <si>
    <t>SC_11_50015E</t>
  </si>
  <si>
    <t>TSCDT4</t>
  </si>
  <si>
    <t>SC_11_50017E</t>
  </si>
  <si>
    <t>TSCFD6</t>
  </si>
  <si>
    <t>SC_11_50018E</t>
  </si>
  <si>
    <t>TSCFC5</t>
  </si>
  <si>
    <t>SC_11_50019E</t>
  </si>
  <si>
    <t>TSCAN3</t>
  </si>
  <si>
    <t>SC_11012011_002</t>
  </si>
  <si>
    <t>TSCBI1</t>
  </si>
  <si>
    <t>SC_11012018_276</t>
  </si>
  <si>
    <t>TSCBH6</t>
  </si>
  <si>
    <t>SC_11012018_279</t>
  </si>
  <si>
    <t>TSCBH5</t>
  </si>
  <si>
    <t>SC_11012018_289</t>
  </si>
  <si>
    <t>TSCBI2</t>
  </si>
  <si>
    <t>SC_11012018_412</t>
  </si>
  <si>
    <t>TSCAN4</t>
  </si>
  <si>
    <t>SC_11022011_003</t>
  </si>
  <si>
    <t>TSCAN5</t>
  </si>
  <si>
    <t>SC_11022011_110</t>
  </si>
  <si>
    <t>TSCAN6</t>
  </si>
  <si>
    <t>SC_11022011_200</t>
  </si>
  <si>
    <t>TSCAO1</t>
  </si>
  <si>
    <t>SC_11022011_203</t>
  </si>
  <si>
    <t>TSCAO2</t>
  </si>
  <si>
    <t>SC_11022011_207</t>
  </si>
  <si>
    <t>TSCBJ5</t>
  </si>
  <si>
    <t>SC_11022018_118</t>
  </si>
  <si>
    <t>TSCBK2</t>
  </si>
  <si>
    <t>SC_11022018_291</t>
  </si>
  <si>
    <t>TSCBI3</t>
  </si>
  <si>
    <t>SC_11022018_298</t>
  </si>
  <si>
    <t>TSCBK1</t>
  </si>
  <si>
    <t>SC_11022018_403</t>
  </si>
  <si>
    <t>TSCBJ3</t>
  </si>
  <si>
    <t>SC_11022018_407</t>
  </si>
  <si>
    <t>TSCBI6</t>
  </si>
  <si>
    <t>SC_11022018_408</t>
  </si>
  <si>
    <t>TSCBK3</t>
  </si>
  <si>
    <t>SC_11022018_424</t>
  </si>
  <si>
    <t>TSCBJ4</t>
  </si>
  <si>
    <t>SC_11022018_431</t>
  </si>
  <si>
    <t>TSCBJ6</t>
  </si>
  <si>
    <t>SC_11022018_436</t>
  </si>
  <si>
    <t>TSCBI4</t>
  </si>
  <si>
    <t>SC_11022018_437</t>
  </si>
  <si>
    <t>TSCBJ2</t>
  </si>
  <si>
    <t>SC_11022018_447</t>
  </si>
  <si>
    <t>TSCBJ1</t>
  </si>
  <si>
    <t>SC_11022018_493</t>
  </si>
  <si>
    <t>TSCBI5</t>
  </si>
  <si>
    <t>SC_11022018_494</t>
  </si>
  <si>
    <t>TSCAO3</t>
  </si>
  <si>
    <t>SC_11032011_112</t>
  </si>
  <si>
    <t>TSCAO4</t>
  </si>
  <si>
    <t>SC_11032011_114</t>
  </si>
  <si>
    <t>TSCAO5</t>
  </si>
  <si>
    <t>SC_11032011_303</t>
  </si>
  <si>
    <t>TSCAO6</t>
  </si>
  <si>
    <t>SC_11042011_101</t>
  </si>
  <si>
    <t>TSCBK4</t>
  </si>
  <si>
    <t>SC_11052018_107</t>
  </si>
  <si>
    <t>TSCBL1</t>
  </si>
  <si>
    <t>SC_11052018_115</t>
  </si>
  <si>
    <t>TSCBK5</t>
  </si>
  <si>
    <t>SC_11052018_124</t>
  </si>
  <si>
    <t>TSCBK6</t>
  </si>
  <si>
    <t>SC_11052018_142</t>
  </si>
  <si>
    <t>TSCBL2</t>
  </si>
  <si>
    <t>SC_11052018_143</t>
  </si>
  <si>
    <t>TSCCI4</t>
  </si>
  <si>
    <t>SC_11052019_539</t>
  </si>
  <si>
    <t>TSCBM1</t>
  </si>
  <si>
    <t>SC_11062018_331</t>
  </si>
  <si>
    <t>TSCBM2</t>
  </si>
  <si>
    <t>SC_11062018_332</t>
  </si>
  <si>
    <t>TSCBL6</t>
  </si>
  <si>
    <t>SC_11062018_356</t>
  </si>
  <si>
    <t>TSCBL4</t>
  </si>
  <si>
    <t>SC_11062018_382</t>
  </si>
  <si>
    <t>TSCBL3</t>
  </si>
  <si>
    <t>SC_11062018_397</t>
  </si>
  <si>
    <t>TSCBL5</t>
  </si>
  <si>
    <t>SC_11062018_488</t>
  </si>
  <si>
    <t>TSCCI6</t>
  </si>
  <si>
    <t>SC_11062019_266</t>
  </si>
  <si>
    <t>TSCCI5</t>
  </si>
  <si>
    <t>SC_11062019_272</t>
  </si>
  <si>
    <t>TSCAP1</t>
  </si>
  <si>
    <t>SC_11072011_004</t>
  </si>
  <si>
    <t>TSCAP2</t>
  </si>
  <si>
    <t>SC_11072011_013</t>
  </si>
  <si>
    <t>TSCAP3</t>
  </si>
  <si>
    <t>SC_11072011_105</t>
  </si>
  <si>
    <t>TSCAP4</t>
  </si>
  <si>
    <t>SC_11072011_203</t>
  </si>
  <si>
    <t>TSCAP5</t>
  </si>
  <si>
    <t>SC_11072011_208</t>
  </si>
  <si>
    <t>TSCAP6</t>
  </si>
  <si>
    <t>SC_11072011_211</t>
  </si>
  <si>
    <t>TSCBM5</t>
  </si>
  <si>
    <t>SC_11072018_307</t>
  </si>
  <si>
    <t>TSCBN1</t>
  </si>
  <si>
    <t>SC_11072018_363</t>
  </si>
  <si>
    <t>TSCBM4</t>
  </si>
  <si>
    <t>SC_11072018_364</t>
  </si>
  <si>
    <t>TSCBN2</t>
  </si>
  <si>
    <t>SC_11072018_417</t>
  </si>
  <si>
    <t>TSCBM6</t>
  </si>
  <si>
    <t>SC_11072018_432</t>
  </si>
  <si>
    <t>TSCED4</t>
  </si>
  <si>
    <t>SC_11072019_261</t>
  </si>
  <si>
    <t>TSCGD2</t>
  </si>
  <si>
    <t>SC_11072019_263</t>
  </si>
  <si>
    <t>N/A</t>
  </si>
  <si>
    <t>SC_11072019_279</t>
  </si>
  <si>
    <t>TSCGD3</t>
  </si>
  <si>
    <t>SC_11072019_286</t>
  </si>
  <si>
    <t>TSCGB5</t>
  </si>
  <si>
    <t>SC_11082019_411</t>
  </si>
  <si>
    <t>TSCGE4</t>
  </si>
  <si>
    <t>SC_11082019_412</t>
  </si>
  <si>
    <t>TSCGE5</t>
  </si>
  <si>
    <t>SC_11082019_420</t>
  </si>
  <si>
    <t>SC_11082019_424</t>
  </si>
  <si>
    <t>TSCGC6</t>
  </si>
  <si>
    <t>SC_11082019_447</t>
  </si>
  <si>
    <t>TSCAQ1</t>
  </si>
  <si>
    <t>SC_11092011_005</t>
  </si>
  <si>
    <t>TSCAQ2</t>
  </si>
  <si>
    <t>SC_11092011_007</t>
  </si>
  <si>
    <t>TSCAQ3</t>
  </si>
  <si>
    <t>SC_11092011_109</t>
  </si>
  <si>
    <t>TSCAQ4</t>
  </si>
  <si>
    <t>SC_11092011_200</t>
  </si>
  <si>
    <t>TSCAQ5</t>
  </si>
  <si>
    <t>SC_11102011_300</t>
  </si>
  <si>
    <t>TSCAQ6</t>
  </si>
  <si>
    <t>SC_11102011_415</t>
  </si>
  <si>
    <t>TSCAR1</t>
  </si>
  <si>
    <t>SC_11102011_419</t>
  </si>
  <si>
    <t>TSCGD6</t>
  </si>
  <si>
    <t>SC_11112019_415</t>
  </si>
  <si>
    <t>TSCGG6</t>
  </si>
  <si>
    <t>SC_11112020_559</t>
  </si>
  <si>
    <t>TSCGG5</t>
  </si>
  <si>
    <t>SC_11112020_574</t>
  </si>
  <si>
    <t>TSCBN3</t>
  </si>
  <si>
    <t>SC_11122018_521</t>
  </si>
  <si>
    <t>TSCGH1</t>
  </si>
  <si>
    <t>SC_11122020_556</t>
  </si>
  <si>
    <t>TSCGH2</t>
  </si>
  <si>
    <t>SC_11122020_586</t>
  </si>
  <si>
    <t>TSCGD5</t>
  </si>
  <si>
    <t>SC_11132019_405</t>
  </si>
  <si>
    <t>TSCGC3</t>
  </si>
  <si>
    <t>SC_11132019_408</t>
  </si>
  <si>
    <t>TSCGC1</t>
  </si>
  <si>
    <t>SC_11132019_427</t>
  </si>
  <si>
    <t>TSCGB6</t>
  </si>
  <si>
    <t>SC_11132019_444</t>
  </si>
  <si>
    <t>TSCAR2</t>
  </si>
  <si>
    <t>SC_11142011_002</t>
  </si>
  <si>
    <t>TSCAR3</t>
  </si>
  <si>
    <t>SC_11142011_003</t>
  </si>
  <si>
    <t>TSCAR4</t>
  </si>
  <si>
    <t>SC_11142011_207</t>
  </si>
  <si>
    <t>TSCGE1</t>
  </si>
  <si>
    <t>SC_11142019_713</t>
  </si>
  <si>
    <t>TSCGD1</t>
  </si>
  <si>
    <t>SC_11142019_735</t>
  </si>
  <si>
    <t>TSCGB1</t>
  </si>
  <si>
    <t>SC_11152019_672</t>
  </si>
  <si>
    <t>TSCGB2</t>
  </si>
  <si>
    <t>SC_11152019_682</t>
  </si>
  <si>
    <t>TSCAR5</t>
  </si>
  <si>
    <t>SC_11162011_003</t>
  </si>
  <si>
    <t>TSCAR6</t>
  </si>
  <si>
    <t>SC_11162011_018</t>
  </si>
  <si>
    <t>TSCAS1</t>
  </si>
  <si>
    <t>SC_11162011_306</t>
  </si>
  <si>
    <t>TSCAS2</t>
  </si>
  <si>
    <t>SC_11162011_311</t>
  </si>
  <si>
    <t>TSCAS3</t>
  </si>
  <si>
    <t>SC_11162011_317</t>
  </si>
  <si>
    <t>TSCAS4</t>
  </si>
  <si>
    <t>SC_11172011_001</t>
  </si>
  <si>
    <t>TSCAS5</t>
  </si>
  <si>
    <t>SC_11172011_002</t>
  </si>
  <si>
    <t>TSCAS6</t>
  </si>
  <si>
    <t>SC_11172011_003</t>
  </si>
  <si>
    <t>TSCAT1</t>
  </si>
  <si>
    <t>SC_11172011_005</t>
  </si>
  <si>
    <t>SC_11182020_588</t>
  </si>
  <si>
    <t>TSCBN5</t>
  </si>
  <si>
    <t>SC_11192018_383</t>
  </si>
  <si>
    <t>TSCBN6</t>
  </si>
  <si>
    <t>SC_11192018_414</t>
  </si>
  <si>
    <t>TSCGB3</t>
  </si>
  <si>
    <t>SC_11192019_549</t>
  </si>
  <si>
    <t>SC_11192020_547</t>
  </si>
  <si>
    <t>SC_11192020_568</t>
  </si>
  <si>
    <t>TSCAT2</t>
  </si>
  <si>
    <t>SC_11202011_002</t>
  </si>
  <si>
    <t>TSCAT3</t>
  </si>
  <si>
    <t>SC_11202011_004</t>
  </si>
  <si>
    <t>TSCGE3</t>
  </si>
  <si>
    <t>SC_11202019_695</t>
  </si>
  <si>
    <t>SC_11202020_352</t>
  </si>
  <si>
    <t>TSCGF6</t>
  </si>
  <si>
    <t>SC_11202020_377</t>
  </si>
  <si>
    <t>TSCGG3</t>
  </si>
  <si>
    <t>SC_11202020_475</t>
  </si>
  <si>
    <t>TSCGG2</t>
  </si>
  <si>
    <t>SC_11202020_481</t>
  </si>
  <si>
    <t>TSCGG1</t>
  </si>
  <si>
    <t>SC_11202020_489</t>
  </si>
  <si>
    <t>TSCGG4</t>
  </si>
  <si>
    <t>SC_11202020_512</t>
  </si>
  <si>
    <t>TSCAT4</t>
  </si>
  <si>
    <t>SC_11212011_106</t>
  </si>
  <si>
    <t>TSCAT5</t>
  </si>
  <si>
    <t>SC_11212011_202</t>
  </si>
  <si>
    <t>TSCAT6</t>
  </si>
  <si>
    <t>SC_11212011_300</t>
  </si>
  <si>
    <t>TSCGE2</t>
  </si>
  <si>
    <t>SC_11212019_725</t>
  </si>
  <si>
    <t>TSCGB4</t>
  </si>
  <si>
    <t>SC_11212019_733</t>
  </si>
  <si>
    <t>TSCGA6</t>
  </si>
  <si>
    <t>SC_11212019_739</t>
  </si>
  <si>
    <t>TSCAU1</t>
  </si>
  <si>
    <t>SC_11222011_104</t>
  </si>
  <si>
    <t>TSCAU2</t>
  </si>
  <si>
    <t>SC_11222011_201</t>
  </si>
  <si>
    <t>TSCAU3</t>
  </si>
  <si>
    <t>SC_11222011_202</t>
  </si>
  <si>
    <t>TSCAU4</t>
  </si>
  <si>
    <t>SC_11222011_301</t>
  </si>
  <si>
    <t>TSCAU5</t>
  </si>
  <si>
    <t>SC_11222011_305</t>
  </si>
  <si>
    <t>TSCGD4</t>
  </si>
  <si>
    <t>SC_11222019_514</t>
  </si>
  <si>
    <t>TSCGE6</t>
  </si>
  <si>
    <t>SC_11222019_517</t>
  </si>
  <si>
    <t>TSCGC2</t>
  </si>
  <si>
    <t>SC_11222019_647</t>
  </si>
  <si>
    <t>TSCGC5</t>
  </si>
  <si>
    <t>SC_11222019_666</t>
  </si>
  <si>
    <t>TSCGI3</t>
  </si>
  <si>
    <t>SC_11232020_613</t>
  </si>
  <si>
    <t>TSCGI4</t>
  </si>
  <si>
    <t>SC_11232020_620</t>
  </si>
  <si>
    <t>TSCGI2</t>
  </si>
  <si>
    <t>SC_11232020_636</t>
  </si>
  <si>
    <t>TSCGI5</t>
  </si>
  <si>
    <t>SC_11232020_667</t>
  </si>
  <si>
    <t>TSCGI6</t>
  </si>
  <si>
    <t>SC_11232020_673</t>
  </si>
  <si>
    <t>TSCGA3</t>
  </si>
  <si>
    <t>SC_11242019_604</t>
  </si>
  <si>
    <t>TSCGA2</t>
  </si>
  <si>
    <t>SC_11242019_677</t>
  </si>
  <si>
    <t>TSCGI1</t>
  </si>
  <si>
    <t>SC_11242019_753</t>
  </si>
  <si>
    <t>TSCGA1</t>
  </si>
  <si>
    <t>SC_11242019_775</t>
  </si>
  <si>
    <t>TSCGC4</t>
  </si>
  <si>
    <t>SC_11242019_797</t>
  </si>
  <si>
    <t>TSCGF1</t>
  </si>
  <si>
    <t>SC_11242020_674</t>
  </si>
  <si>
    <t>TSCGF2</t>
  </si>
  <si>
    <t>SC_11242020_691</t>
  </si>
  <si>
    <t>TSCGF3</t>
  </si>
  <si>
    <t>SC_11242020_693</t>
  </si>
  <si>
    <t>TSCGA4</t>
  </si>
  <si>
    <t>SC_11252019_630</t>
  </si>
  <si>
    <t>TSCBO2</t>
  </si>
  <si>
    <t>SC_11272018_074</t>
  </si>
  <si>
    <t>TSCBP2</t>
  </si>
  <si>
    <t>SC_11272018_303</t>
  </si>
  <si>
    <t>TSCBO5</t>
  </si>
  <si>
    <t>SC_11272018_357</t>
  </si>
  <si>
    <t>TSCBP3</t>
  </si>
  <si>
    <t>SC_11272018_378</t>
  </si>
  <si>
    <t>TSCBP1</t>
  </si>
  <si>
    <t>SC_11272018_514</t>
  </si>
  <si>
    <t>TSCBO6</t>
  </si>
  <si>
    <t>SC_11272018_519</t>
  </si>
  <si>
    <t>TSCBO4</t>
  </si>
  <si>
    <t>SC_11272018_545</t>
  </si>
  <si>
    <t>TSCGA5</t>
  </si>
  <si>
    <t>SC_11272019_785</t>
  </si>
  <si>
    <t>TSCAU6</t>
  </si>
  <si>
    <t>SC_11282011_001</t>
  </si>
  <si>
    <t>TSCAV1</t>
  </si>
  <si>
    <t>SC_11282011_007</t>
  </si>
  <si>
    <t>TSCAV2</t>
  </si>
  <si>
    <t>SC_11282011_103</t>
  </si>
  <si>
    <t>TSCBP5</t>
  </si>
  <si>
    <t>SC_11282018_215</t>
  </si>
  <si>
    <t>TSCBP4</t>
  </si>
  <si>
    <t>SC_11282018_374</t>
  </si>
  <si>
    <t>TSCBP6</t>
  </si>
  <si>
    <t>SC_11282018_468</t>
  </si>
  <si>
    <t>TSCBQ1</t>
  </si>
  <si>
    <t>SC_11292018_299</t>
  </si>
  <si>
    <t>TSCBQ2</t>
  </si>
  <si>
    <t>SC_11292018_376</t>
  </si>
  <si>
    <t>TSCAV3</t>
  </si>
  <si>
    <t>SC_11302011_100</t>
  </si>
  <si>
    <t>TSCGF4</t>
  </si>
  <si>
    <t>SC_11302020_733</t>
  </si>
  <si>
    <t>SC_11302020_746</t>
  </si>
  <si>
    <t>TSCGF5</t>
  </si>
  <si>
    <t>SC_11302020_755</t>
  </si>
  <si>
    <t>TSCBQ3</t>
  </si>
  <si>
    <t>SC_12_50004E</t>
  </si>
  <si>
    <t>TSCBQ4</t>
  </si>
  <si>
    <t>SC_12_50005E</t>
  </si>
  <si>
    <t>TSCBQ5</t>
  </si>
  <si>
    <t>SC_12_50006E</t>
  </si>
  <si>
    <t>TSCBQ6</t>
  </si>
  <si>
    <t>SC_12_50007E</t>
  </si>
  <si>
    <t>TSCBR1</t>
  </si>
  <si>
    <t>SC_12_50008E</t>
  </si>
  <si>
    <t>TSCBR2</t>
  </si>
  <si>
    <t>SC_12_50009E</t>
  </si>
  <si>
    <t>TSCBR3</t>
  </si>
  <si>
    <t>SC_12_50012E</t>
  </si>
  <si>
    <t>TSCBR4</t>
  </si>
  <si>
    <t>SC_12_50013E</t>
  </si>
  <si>
    <t>TSCBR5</t>
  </si>
  <si>
    <t>SC_12_50014E</t>
  </si>
  <si>
    <t>TSCBR6</t>
  </si>
  <si>
    <t>SC_12_50015E</t>
  </si>
  <si>
    <t>TSCBS1</t>
  </si>
  <si>
    <t>SC_12_50017E</t>
  </si>
  <si>
    <t>TSCBS2</t>
  </si>
  <si>
    <t>SC_12_50018E</t>
  </si>
  <si>
    <t>TSCBS3</t>
  </si>
  <si>
    <t>SC_12_50019E</t>
  </si>
  <si>
    <t>TSCBS4</t>
  </si>
  <si>
    <t>SC_12_50020E</t>
  </si>
  <si>
    <t>TSCBS5</t>
  </si>
  <si>
    <t>SC_12_50021E</t>
  </si>
  <si>
    <t>TSCBS6</t>
  </si>
  <si>
    <t>SC_12_50022E</t>
  </si>
  <si>
    <t>TSCBT1</t>
  </si>
  <si>
    <t>SC_12_50023E</t>
  </si>
  <si>
    <t>TSCBT2</t>
  </si>
  <si>
    <t>SC_12_50024E</t>
  </si>
  <si>
    <t>TSCBT3</t>
  </si>
  <si>
    <t>SC_12_50025E</t>
  </si>
  <si>
    <t>TSCBT4</t>
  </si>
  <si>
    <t>SC_12_50026E</t>
  </si>
  <si>
    <t>TSCBT5</t>
  </si>
  <si>
    <t>SC_12_50027E</t>
  </si>
  <si>
    <t>TSCBT6</t>
  </si>
  <si>
    <t>SC_12_50028E</t>
  </si>
  <si>
    <t>TSCBU1</t>
  </si>
  <si>
    <t>SC_12_50029E</t>
  </si>
  <si>
    <t>TSCBU2</t>
  </si>
  <si>
    <t>SC_12_50030E</t>
  </si>
  <si>
    <t>TSCBU3</t>
  </si>
  <si>
    <t>SC_12_50031E</t>
  </si>
  <si>
    <t>TSCBU4</t>
  </si>
  <si>
    <t>SC_12_50032E</t>
  </si>
  <si>
    <t>TSCBU5</t>
  </si>
  <si>
    <t>SC_12_50033E</t>
  </si>
  <si>
    <t>TSCBU6</t>
  </si>
  <si>
    <t>SC_12_50034E</t>
  </si>
  <si>
    <t>TSCBV1</t>
  </si>
  <si>
    <t>SC_12_50036E</t>
  </si>
  <si>
    <t>TSCBV2</t>
  </si>
  <si>
    <t>SC_12_50037E</t>
  </si>
  <si>
    <t>TSCBV3</t>
  </si>
  <si>
    <t>SC_12_50038E</t>
  </si>
  <si>
    <t>TSCBV4</t>
  </si>
  <si>
    <t>SC_12_50039E</t>
  </si>
  <si>
    <t>TSCBV5</t>
  </si>
  <si>
    <t>SC_12_50040E</t>
  </si>
  <si>
    <t>TSCBV6</t>
  </si>
  <si>
    <t>SC_12_50041E</t>
  </si>
  <si>
    <t>TSCBW1</t>
  </si>
  <si>
    <t>SC_12_50042E</t>
  </si>
  <si>
    <t>TSCBW2</t>
  </si>
  <si>
    <t>SC_12_50043E</t>
  </si>
  <si>
    <t>TSCBW3</t>
  </si>
  <si>
    <t>SC_12_50044E</t>
  </si>
  <si>
    <t>TSCBW4</t>
  </si>
  <si>
    <t>SC_12_50045E</t>
  </si>
  <si>
    <t>TSCBW5</t>
  </si>
  <si>
    <t>SC_12_50046E</t>
  </si>
  <si>
    <t>TSCBW6</t>
  </si>
  <si>
    <t>SC_12_50047E</t>
  </si>
  <si>
    <t>TSCBX1</t>
  </si>
  <si>
    <t>SC_12_50049E</t>
  </si>
  <si>
    <t>TSCBX2</t>
  </si>
  <si>
    <t>SC_12_50051E</t>
  </si>
  <si>
    <t>TSCBX3</t>
  </si>
  <si>
    <t>SC_12_50052E</t>
  </si>
  <si>
    <t>TSCBX4</t>
  </si>
  <si>
    <t>SC_12_50053E</t>
  </si>
  <si>
    <t>TSCBX5</t>
  </si>
  <si>
    <t>SC_12_50054E</t>
  </si>
  <si>
    <t>TSCBX6</t>
  </si>
  <si>
    <t>SC_12_50055E</t>
  </si>
  <si>
    <t>TSCBY1</t>
  </si>
  <si>
    <t>SC_12_50056E</t>
  </si>
  <si>
    <t>TSCBY2</t>
  </si>
  <si>
    <t>SC_12_50057E</t>
  </si>
  <si>
    <t>TSCBY3</t>
  </si>
  <si>
    <t>SC_12_50058E</t>
  </si>
  <si>
    <t>TSCBY4</t>
  </si>
  <si>
    <t>SC_12_50059E</t>
  </si>
  <si>
    <t>TSCBY5</t>
  </si>
  <si>
    <t>SC_12_50060E</t>
  </si>
  <si>
    <t>TSCBY6</t>
  </si>
  <si>
    <t>SC_12_50064E</t>
  </si>
  <si>
    <t>TSCBZ1</t>
  </si>
  <si>
    <t>SC_12_50065E</t>
  </si>
  <si>
    <t>TSCBZ2</t>
  </si>
  <si>
    <t>SC_12_50066E</t>
  </si>
  <si>
    <t>TSCBZ3</t>
  </si>
  <si>
    <t>SC_12_50067E</t>
  </si>
  <si>
    <t>TSCBZ4</t>
  </si>
  <si>
    <t>SC_12_50068E</t>
  </si>
  <si>
    <t>TSCBZ5</t>
  </si>
  <si>
    <t>SC_12_50071E</t>
  </si>
  <si>
    <t>TSCBZ6</t>
  </si>
  <si>
    <t>SC_12_50072E</t>
  </si>
  <si>
    <t>TSCDP2</t>
  </si>
  <si>
    <t>SC_12_50073E</t>
  </si>
  <si>
    <t>TSCDP3</t>
  </si>
  <si>
    <t>SC_12_50074E</t>
  </si>
  <si>
    <t>TSCDP4</t>
  </si>
  <si>
    <t>SC_12_50075E</t>
  </si>
  <si>
    <t>TSCDP5</t>
  </si>
  <si>
    <t>SC_12_50076E</t>
  </si>
  <si>
    <t>TSCDP6</t>
  </si>
  <si>
    <t>SC_12_50077E</t>
  </si>
  <si>
    <t>TSCDQ1</t>
  </si>
  <si>
    <t>SC_12_50078E</t>
  </si>
  <si>
    <t>TSCDQ2</t>
  </si>
  <si>
    <t>SC_12_50079E</t>
  </si>
  <si>
    <t>TSCDQ3</t>
  </si>
  <si>
    <t>SC_12_50080E</t>
  </si>
  <si>
    <t>TSCDQ4</t>
  </si>
  <si>
    <t>SC_12_50081E</t>
  </si>
  <si>
    <t>TSCDQ5</t>
  </si>
  <si>
    <t>SC_12_50082E</t>
  </si>
  <si>
    <t>TSCDQ6</t>
  </si>
  <si>
    <t>SC_12_50083E</t>
  </si>
  <si>
    <t>TSCDR1</t>
  </si>
  <si>
    <t>SC_12_50084E</t>
  </si>
  <si>
    <t>TSCDR2</t>
  </si>
  <si>
    <t>SC_12_50085E</t>
  </si>
  <si>
    <t>TSCDR3</t>
  </si>
  <si>
    <t>SC_12_50086E</t>
  </si>
  <si>
    <t>TSCDR4</t>
  </si>
  <si>
    <t>SC_12_50087E</t>
  </si>
  <si>
    <t>TSCDR5</t>
  </si>
  <si>
    <t>SC_12_50088E</t>
  </si>
  <si>
    <t>TSCDR6</t>
  </si>
  <si>
    <t>SC_12_50089E</t>
  </si>
  <si>
    <t>TSCDS1</t>
  </si>
  <si>
    <t>SC_12_50090E</t>
  </si>
  <si>
    <t>TSCDS2</t>
  </si>
  <si>
    <t>SC_12_50103E</t>
  </si>
  <si>
    <t>TSCDS3</t>
  </si>
  <si>
    <t>SC_12_50115E</t>
  </si>
  <si>
    <t>TSCDS4</t>
  </si>
  <si>
    <t>SC_12_50116E</t>
  </si>
  <si>
    <t>TSCDS5</t>
  </si>
  <si>
    <t>SC_12_50117E</t>
  </si>
  <si>
    <t>TSCCW2</t>
  </si>
  <si>
    <t>SC_13_50005E</t>
  </si>
  <si>
    <t>TSCCW3</t>
  </si>
  <si>
    <t>SC_13_50006E</t>
  </si>
  <si>
    <t>TSCCW4</t>
  </si>
  <si>
    <t>SC_13_50008E</t>
  </si>
  <si>
    <t>TSCCW5</t>
  </si>
  <si>
    <t>SC_13_50009E</t>
  </si>
  <si>
    <t>TSCCW6</t>
  </si>
  <si>
    <t>SC_13_50010E</t>
  </si>
  <si>
    <t>TSCCX1</t>
  </si>
  <si>
    <t>SC_13_50011E</t>
  </si>
  <si>
    <t>TSCCX2</t>
  </si>
  <si>
    <t>SC_13_50012E</t>
  </si>
  <si>
    <t>TSCCX3</t>
  </si>
  <si>
    <t>SC_13_50013E</t>
  </si>
  <si>
    <t>TSCCX4</t>
  </si>
  <si>
    <t>SC_13_50016E</t>
  </si>
  <si>
    <t>TSCCX5</t>
  </si>
  <si>
    <t>SC_13_50018E</t>
  </si>
  <si>
    <t>TSCCX6</t>
  </si>
  <si>
    <t>SC_13_50019E</t>
  </si>
  <si>
    <t>TSCCY1</t>
  </si>
  <si>
    <t>SC_13_50020E</t>
  </si>
  <si>
    <t>TSCCY2</t>
  </si>
  <si>
    <t>SC_13_50021E</t>
  </si>
  <si>
    <t>TSCCY3</t>
  </si>
  <si>
    <t>SC_13_50022E</t>
  </si>
  <si>
    <t>TSCCY4</t>
  </si>
  <si>
    <t>SC_13_50023E</t>
  </si>
  <si>
    <t>TSCCY5</t>
  </si>
  <si>
    <t>SC_13_50037E</t>
  </si>
  <si>
    <t>TSCCY6</t>
  </si>
  <si>
    <t>SC_13_50039E</t>
  </si>
  <si>
    <t>TSCCZ1</t>
  </si>
  <si>
    <t>SC_13_50059E</t>
  </si>
  <si>
    <t>TSCCZ2</t>
  </si>
  <si>
    <t>SC_13_50066E</t>
  </si>
  <si>
    <t>TSCCZ3</t>
  </si>
  <si>
    <t>SC_13_50077E</t>
  </si>
  <si>
    <t>TSCCZ4</t>
  </si>
  <si>
    <t>SC_13_51007E</t>
  </si>
  <si>
    <t>TSCCZ5</t>
  </si>
  <si>
    <t>SC_13_51008E</t>
  </si>
  <si>
    <t>TSCCZ6</t>
  </si>
  <si>
    <t>SC_14_50004E</t>
  </si>
  <si>
    <t>TSCEA1</t>
  </si>
  <si>
    <t>SC_14_50005E</t>
  </si>
  <si>
    <t>TSCEA2</t>
  </si>
  <si>
    <t>SC_14_50006E</t>
  </si>
  <si>
    <t>TSCEA3</t>
  </si>
  <si>
    <t>SC_14_50007E</t>
  </si>
  <si>
    <t>TSCEA4</t>
  </si>
  <si>
    <t>SC_14_50008E</t>
  </si>
  <si>
    <t>TSCEA5</t>
  </si>
  <si>
    <t>SC_14_50009E</t>
  </si>
  <si>
    <t>TSCEA6</t>
  </si>
  <si>
    <t>SC_14_50023E</t>
  </si>
  <si>
    <t>TSCEB1</t>
  </si>
  <si>
    <t>SC_14_50024E</t>
  </si>
  <si>
    <t>TSCEB2</t>
  </si>
  <si>
    <t>SC_14_50025E</t>
  </si>
  <si>
    <t>TSCEB3</t>
  </si>
  <si>
    <t>SC_14_50027E</t>
  </si>
  <si>
    <t>TSCEB4</t>
  </si>
  <si>
    <t>SC_14_50029E</t>
  </si>
  <si>
    <t>TSCEB5</t>
  </si>
  <si>
    <t>SC_14_50032E</t>
  </si>
  <si>
    <t>TSCEB6</t>
  </si>
  <si>
    <t>SC_14_50033E</t>
  </si>
  <si>
    <t>TSCEC1</t>
  </si>
  <si>
    <t>SC_14_50034E</t>
  </si>
  <si>
    <t>TSCEC2</t>
  </si>
  <si>
    <t>SC_14_50038E</t>
  </si>
  <si>
    <t>TSCEC3</t>
  </si>
  <si>
    <t>SC_14_50039E</t>
  </si>
  <si>
    <t>TSCEC4</t>
  </si>
  <si>
    <t>SC_14_50040E</t>
  </si>
  <si>
    <t>TSCEC5</t>
  </si>
  <si>
    <t>SC_14_50041E</t>
  </si>
  <si>
    <t>TSCEC6</t>
  </si>
  <si>
    <t>SC_14_50043E</t>
  </si>
  <si>
    <t>TSCED2</t>
  </si>
  <si>
    <t>SC_15_50000E</t>
  </si>
  <si>
    <t>TSCED1</t>
  </si>
  <si>
    <t>SC_15_50004E</t>
  </si>
  <si>
    <t>TSCED3</t>
  </si>
  <si>
    <t>SC_15_50010E</t>
  </si>
  <si>
    <t>TSCCR6</t>
  </si>
  <si>
    <t>SC_16_50000E</t>
  </si>
  <si>
    <t>TSCCS1</t>
  </si>
  <si>
    <t>SC_18_50000E</t>
  </si>
  <si>
    <t>TSCCS2</t>
  </si>
  <si>
    <t>SC_18_50004E</t>
  </si>
  <si>
    <t>TSCCS4</t>
  </si>
  <si>
    <t>SC_18_50005E</t>
  </si>
  <si>
    <t>TSCCS3</t>
  </si>
  <si>
    <t>SC_18_50006E</t>
  </si>
  <si>
    <t>TSCCS6</t>
  </si>
  <si>
    <t>SC_19_50021E</t>
  </si>
  <si>
    <t>TSCCS5</t>
  </si>
  <si>
    <t>SC_19_50022E</t>
  </si>
  <si>
    <t>TSCCT1</t>
  </si>
  <si>
    <t>SC_20_50000E</t>
  </si>
  <si>
    <t>TSCCT2</t>
  </si>
  <si>
    <t>SC_21_50001E</t>
  </si>
  <si>
    <t>TSCCT3</t>
  </si>
  <si>
    <t>SC_21_50002E</t>
  </si>
  <si>
    <t>TSCCT4</t>
  </si>
  <si>
    <t>SC_21_50003E</t>
  </si>
  <si>
    <t>TSCCT5</t>
  </si>
  <si>
    <t>SC_21_50004E</t>
  </si>
  <si>
    <t>TSCCT6</t>
  </si>
  <si>
    <t>SC_21_50005E</t>
  </si>
  <si>
    <t>TSCCU1</t>
  </si>
  <si>
    <t>SC_21_50006E</t>
  </si>
  <si>
    <t>TSCCU2</t>
  </si>
  <si>
    <t>SC_21_50007E</t>
  </si>
  <si>
    <t>TSCCU3</t>
  </si>
  <si>
    <t>SC_21_50009E</t>
  </si>
  <si>
    <t>TSCCU4</t>
  </si>
  <si>
    <t>SC_21_50010E</t>
  </si>
  <si>
    <t>TSCCU5</t>
  </si>
  <si>
    <t>SC_21_50011E</t>
  </si>
  <si>
    <t>TSCCU6</t>
  </si>
  <si>
    <t>SC_21_50012E</t>
  </si>
  <si>
    <t>TSCCV1</t>
  </si>
  <si>
    <t>SC_21_50015E</t>
  </si>
  <si>
    <t>TSCCV2</t>
  </si>
  <si>
    <t>SC_21_50016E</t>
  </si>
  <si>
    <t>TSCCV3</t>
  </si>
  <si>
    <t>SC_21_50021E</t>
  </si>
  <si>
    <t>TSCCV4</t>
  </si>
  <si>
    <t>SC_21_50023E</t>
  </si>
  <si>
    <t>TSCCV5</t>
  </si>
  <si>
    <t>SC_21_50028E</t>
  </si>
  <si>
    <t>TSCCV6</t>
  </si>
  <si>
    <t>SC_21_51076E</t>
  </si>
  <si>
    <t>TSCCW1</t>
  </si>
  <si>
    <t>SC_21_51077E</t>
  </si>
  <si>
    <t>TSCFU6</t>
  </si>
  <si>
    <t>SC_CA_BUT_1123_1060_01</t>
  </si>
  <si>
    <t>TSCFY4</t>
  </si>
  <si>
    <t>SC_CA_BUT_1123_1060_02</t>
  </si>
  <si>
    <t>TSCFY3</t>
  </si>
  <si>
    <t>SC_CA_BUT_1123_1060_03</t>
  </si>
  <si>
    <t>TSCFV2</t>
  </si>
  <si>
    <t>SC_CA_BUT_1123_1080_01</t>
  </si>
  <si>
    <t>TSCFV3</t>
  </si>
  <si>
    <t>SC_CA_BUT_1123_1112_01</t>
  </si>
  <si>
    <t>TSCFW2</t>
  </si>
  <si>
    <t>SC_CA_BUT_1123_1136_01</t>
  </si>
  <si>
    <t>TSCFY1</t>
  </si>
  <si>
    <t>SC_CA_BUT_1123_1413_02</t>
  </si>
  <si>
    <t>TSCFV1</t>
  </si>
  <si>
    <t>SC_CA_BUT_1123_1439_01</t>
  </si>
  <si>
    <t>TSCHN3</t>
  </si>
  <si>
    <t>SC_CA_BUT_1123_1885_02</t>
  </si>
  <si>
    <t>TSCFX1</t>
  </si>
  <si>
    <t>SC_CA_BUT_1123_1979_01</t>
  </si>
  <si>
    <t>TSCHB2</t>
  </si>
  <si>
    <t>SC_CA_BUT_1123_1999_01</t>
  </si>
  <si>
    <t>TSCFY5</t>
  </si>
  <si>
    <t>SC_CA_BUT_1123_2060_01</t>
  </si>
  <si>
    <t>TSCHA2</t>
  </si>
  <si>
    <t>SC_CA_BUT_1123_2347_01</t>
  </si>
  <si>
    <t>TSCHA3</t>
  </si>
  <si>
    <t>SC_CA_BUT_1123_2347_02</t>
  </si>
  <si>
    <t>TSCHA4</t>
  </si>
  <si>
    <t>SC_CA_BUT_1123_2347_03</t>
  </si>
  <si>
    <t>TSCFZ2</t>
  </si>
  <si>
    <t>SC_CA_BUT_1123_2379_01</t>
  </si>
  <si>
    <t>TSCFZ3</t>
  </si>
  <si>
    <t>SC_CA_BUT_1123_2379_02</t>
  </si>
  <si>
    <t>TSCFZ4</t>
  </si>
  <si>
    <t>SC_CA_BUT_1123_2379_03</t>
  </si>
  <si>
    <t>TSCFU4</t>
  </si>
  <si>
    <t>SC_CA_BUT_1123_2394_01</t>
  </si>
  <si>
    <t>TSCFX6</t>
  </si>
  <si>
    <t>SC_CA_BUT_1123_2713_01</t>
  </si>
  <si>
    <t>TSCFX5</t>
  </si>
  <si>
    <t>SC_CA_BUT_1123_2713_02</t>
  </si>
  <si>
    <t>TSCFV5</t>
  </si>
  <si>
    <t>SC_CA_BUT_1123_2844_01</t>
  </si>
  <si>
    <t>TSCFW5</t>
  </si>
  <si>
    <t>SC_CA_BUT_1123_3148_01</t>
  </si>
  <si>
    <t>TSCFU5</t>
  </si>
  <si>
    <t>SC_CA_BUT_1123_3387_01</t>
  </si>
  <si>
    <t>TSCFX4</t>
  </si>
  <si>
    <t>SC_CA_BUT_1123_3404_01</t>
  </si>
  <si>
    <t>TSCFY6</t>
  </si>
  <si>
    <t>SC_CA_BUT_1123_3716_01</t>
  </si>
  <si>
    <t>TSCHA1</t>
  </si>
  <si>
    <t>SC_CA_BUT_1123_397_01</t>
  </si>
  <si>
    <t>TSCHN1</t>
  </si>
  <si>
    <t>SC_CA_BUT_1123_4079_01</t>
  </si>
  <si>
    <t>TSCHB1</t>
  </si>
  <si>
    <t>SC_CA_BUT_1123_4110_01</t>
  </si>
  <si>
    <t>TSCHA6</t>
  </si>
  <si>
    <t>SC_CA_BUT_1123_4180_01</t>
  </si>
  <si>
    <t>TSCHN2</t>
  </si>
  <si>
    <t>SC_CA_BUT_1123_4191_01</t>
  </si>
  <si>
    <t>TSCFZ6</t>
  </si>
  <si>
    <t>SC_CA_BUT_1123_4202_01</t>
  </si>
  <si>
    <t>TSCHA5</t>
  </si>
  <si>
    <t>SC_CA_BUT_1123_4202_02</t>
  </si>
  <si>
    <t>TSCFX3</t>
  </si>
  <si>
    <t>SC_CA_BUT_1123_4236_02</t>
  </si>
  <si>
    <t>TSCFY2</t>
  </si>
  <si>
    <t>SC_CA_BUT_1123_4636_01</t>
  </si>
  <si>
    <t>TSCFV6</t>
  </si>
  <si>
    <t>SC_CA_BUT_1123_4687_01</t>
  </si>
  <si>
    <t>TSCFW3</t>
  </si>
  <si>
    <t>SC_CA_BUT_1123_4794_01</t>
  </si>
  <si>
    <t>TSCFW1</t>
  </si>
  <si>
    <t>SC_CA_BUT_1123_4810_01</t>
  </si>
  <si>
    <t>TSCFW4</t>
  </si>
  <si>
    <t>SC_CA_BUT_1123_571_01</t>
  </si>
  <si>
    <t>TSCFX2</t>
  </si>
  <si>
    <t>SC_CA_BUT_1123_632_01</t>
  </si>
  <si>
    <t>TSCFW6</t>
  </si>
  <si>
    <t>SC_CA_BUT_1123_632_02</t>
  </si>
  <si>
    <t>TSCFZ1</t>
  </si>
  <si>
    <t>SC_CA_BUT_1123_721_01</t>
  </si>
  <si>
    <t>TSCFZ5</t>
  </si>
  <si>
    <t>SC_CA_BUT_1123_749_01</t>
  </si>
  <si>
    <t>TSCFV4</t>
  </si>
  <si>
    <t>SC_CA_BUT_1123_884_01</t>
  </si>
  <si>
    <t>TSCHR1</t>
  </si>
  <si>
    <t>SC_CA_BUT_14_008_01</t>
  </si>
  <si>
    <t>TSCHS3</t>
  </si>
  <si>
    <t>SC_CA_BUT_14_280_01</t>
  </si>
  <si>
    <t>TSCHS2</t>
  </si>
  <si>
    <t>SC_CA_BUT_14_280_02</t>
  </si>
  <si>
    <t>TSCHS1</t>
  </si>
  <si>
    <t>SC_CA_BUT_14_280_03</t>
  </si>
  <si>
    <t>TSCHS6</t>
  </si>
  <si>
    <t>SC_CA_BUT_14_334_01</t>
  </si>
  <si>
    <t>TSCHQ6</t>
  </si>
  <si>
    <t>SC_CA_BUT_14_361_01</t>
  </si>
  <si>
    <t>TSCHR3</t>
  </si>
  <si>
    <t>SC_CA_BUT_14_500_01</t>
  </si>
  <si>
    <t>TSCHR2</t>
  </si>
  <si>
    <t>SC_CA_BUT_14_500_02</t>
  </si>
  <si>
    <t>TSCHR5</t>
  </si>
  <si>
    <t>SC_CA_BUT_14_544_01</t>
  </si>
  <si>
    <t>TSCHQ5</t>
  </si>
  <si>
    <t>SC_CA_BUT_14_719_01</t>
  </si>
  <si>
    <t>TSCHQ4</t>
  </si>
  <si>
    <t>SC_CA_BUT_14_719_02</t>
  </si>
  <si>
    <t>TSCHQ3</t>
  </si>
  <si>
    <t>SC_CA_BUT_14_719_04</t>
  </si>
  <si>
    <t>TSCHQ2</t>
  </si>
  <si>
    <t>SC_CA_BUT_14_719_05</t>
  </si>
  <si>
    <t>TSCHQ1</t>
  </si>
  <si>
    <t>SC_CA_BUT_14_719_06</t>
  </si>
  <si>
    <t>TSCHP6</t>
  </si>
  <si>
    <t>SC_CA_BUT_14_719_07</t>
  </si>
  <si>
    <t>TSCHP5</t>
  </si>
  <si>
    <t>SC_CA_BUT_14_719_08</t>
  </si>
  <si>
    <t>TSCHG6</t>
  </si>
  <si>
    <t>SC_CA_BUT_4181_1138_01</t>
  </si>
  <si>
    <t>TSCHH1</t>
  </si>
  <si>
    <t>SC_CA_BUT_4181_1138_02</t>
  </si>
  <si>
    <t>TSCHH2</t>
  </si>
  <si>
    <t>SC_CA_BUT_4181_1138_03</t>
  </si>
  <si>
    <t>TSCHH3</t>
  </si>
  <si>
    <t>SC_CA_BUT_4181_1138_04</t>
  </si>
  <si>
    <t>TSCHG3</t>
  </si>
  <si>
    <t>SC_CA_BUT_4181_1238_01</t>
  </si>
  <si>
    <t>TSCHG4</t>
  </si>
  <si>
    <t>SC_CA_BUT_4181_1238_02</t>
  </si>
  <si>
    <t>TSCHG2</t>
  </si>
  <si>
    <t>SC_CA_BUT_4181_1238_SP_01</t>
  </si>
  <si>
    <t>TSCHE6</t>
  </si>
  <si>
    <t>SC_CA_BUT_4181_1310_01</t>
  </si>
  <si>
    <t>TSCHF1</t>
  </si>
  <si>
    <t>SC_CA_BUT_4181_1310_02</t>
  </si>
  <si>
    <t>TSCHF2</t>
  </si>
  <si>
    <t>SC_CA_BUT_4181_1310_03</t>
  </si>
  <si>
    <t>TSCHF3</t>
  </si>
  <si>
    <t>SC_CA_BUT_4181_1310_04</t>
  </si>
  <si>
    <t>TSCHF4</t>
  </si>
  <si>
    <t>SC_CA_BUT_4181_1310_05</t>
  </si>
  <si>
    <t>TSCHF5</t>
  </si>
  <si>
    <t>SC_CA_BUT_4181_1310_06</t>
  </si>
  <si>
    <t>TSCHF6</t>
  </si>
  <si>
    <t>SC_CA_BUT_4181_1310_07</t>
  </si>
  <si>
    <t>TSCHH4</t>
  </si>
  <si>
    <t>SC_CA_BUT_4181_1357_01</t>
  </si>
  <si>
    <t>TSCHH5</t>
  </si>
  <si>
    <t>SC_CA_BUT_4181_1357_02</t>
  </si>
  <si>
    <t>TSCHG5</t>
  </si>
  <si>
    <t>SC_CA_BUT_4181_1405_01</t>
  </si>
  <si>
    <t>TSCHE1</t>
  </si>
  <si>
    <t>SC_CA_BUT_4181_1465_01</t>
  </si>
  <si>
    <t>TSCHE2</t>
  </si>
  <si>
    <t>SC_CA_BUT_4181_1465_02</t>
  </si>
  <si>
    <t>TSCHE3</t>
  </si>
  <si>
    <t>SC_CA_BUT_4181_1465_03</t>
  </si>
  <si>
    <t>TSCHE4</t>
  </si>
  <si>
    <t>SC_CA_BUT_4181_1465_04</t>
  </si>
  <si>
    <t>TSCHE5</t>
  </si>
  <si>
    <t>SC_CA_BUT_4181_1465_05</t>
  </si>
  <si>
    <t>TSCHM2</t>
  </si>
  <si>
    <t>SC_CA_BUT_4181_3616_01</t>
  </si>
  <si>
    <t>TSCHM3</t>
  </si>
  <si>
    <t>SC_CA_BUT_4181_3616_02</t>
  </si>
  <si>
    <t>TSCHM4</t>
  </si>
  <si>
    <t>SC_CA_BUT_4181_3616_03</t>
  </si>
  <si>
    <t>TSCHM5</t>
  </si>
  <si>
    <t>SC_CA_BUT_4181_3616_04</t>
  </si>
  <si>
    <t>TSCHM6</t>
  </si>
  <si>
    <t>SC_CA_BUT_4181_3616_05</t>
  </si>
  <si>
    <t>TSCHL4</t>
  </si>
  <si>
    <t>SC_CA_BUT_4181_6076_01</t>
  </si>
  <si>
    <t>TSCHL5</t>
  </si>
  <si>
    <t>SC_CA_BUT_4181_6076_02</t>
  </si>
  <si>
    <t>TSCHG1</t>
  </si>
  <si>
    <t>SC_CA_BUT_4181_994_01</t>
  </si>
  <si>
    <t>TSCFN6</t>
  </si>
  <si>
    <t>SC_CA_BUT_4181H_407_01</t>
  </si>
  <si>
    <t>TSCFO1</t>
  </si>
  <si>
    <t>SC_CA_BUT_4181H_407_02</t>
  </si>
  <si>
    <t>TSCFO2</t>
  </si>
  <si>
    <t>SC_CA_BUT_4181H_407_03</t>
  </si>
  <si>
    <t>TSCFO3</t>
  </si>
  <si>
    <t>SC_CA_BUT_4181H_407_05</t>
  </si>
  <si>
    <t>TSCFQ1</t>
  </si>
  <si>
    <t>SC_CA_BUT_4181H_475_01</t>
  </si>
  <si>
    <t>TSCFQ2</t>
  </si>
  <si>
    <t>SC_CA_BUT_4181H_475_02</t>
  </si>
  <si>
    <t>TSCFQ3</t>
  </si>
  <si>
    <t>SC_CA_BUT_4181H_475_03</t>
  </si>
  <si>
    <t>TSCFQ4</t>
  </si>
  <si>
    <t>SC_CA_BUT_4181H_475_04</t>
  </si>
  <si>
    <t>TSCFQ5</t>
  </si>
  <si>
    <t>SC_CA_BUT_4181H_475_05</t>
  </si>
  <si>
    <t>TSCFQ6</t>
  </si>
  <si>
    <t>SC_CA_BUT_4181H_475_06</t>
  </si>
  <si>
    <t>TSCFR1</t>
  </si>
  <si>
    <t>SC_CA_BUT_4181H_475_07</t>
  </si>
  <si>
    <t>TSCFR2</t>
  </si>
  <si>
    <t>SC_CA_BUT_4181H_475_08</t>
  </si>
  <si>
    <t>TSCFR3</t>
  </si>
  <si>
    <t>SC_CA_BUT_4181H_475_09</t>
  </si>
  <si>
    <t>TSCFR4</t>
  </si>
  <si>
    <t>SC_CA_BUT_4181H_475_10</t>
  </si>
  <si>
    <t>TSCFR5</t>
  </si>
  <si>
    <t>SC_CA_BUT_4181H_475_11</t>
  </si>
  <si>
    <t>TSCHD5</t>
  </si>
  <si>
    <t>SC_CA_BUT_4181H_5373_01</t>
  </si>
  <si>
    <t>TSCHD6</t>
  </si>
  <si>
    <t>SC_CA_BUT_4181H_5373_03</t>
  </si>
  <si>
    <t>TSCHU1</t>
  </si>
  <si>
    <t>SC_CA_BUT_4181H_5373_04</t>
  </si>
  <si>
    <t>TSCHU2</t>
  </si>
  <si>
    <t>SC_CA_BUT_4181H_5373_05</t>
  </si>
  <si>
    <t>TSCHD2</t>
  </si>
  <si>
    <t>SC_CA_BUT_4181H_5419_01</t>
  </si>
  <si>
    <t>TSCHD3</t>
  </si>
  <si>
    <t>SC_CA_BUT_4181H_5419_02</t>
  </si>
  <si>
    <t>TSCHD4</t>
  </si>
  <si>
    <t>SC_CA_BUT_4181H_5419_03</t>
  </si>
  <si>
    <t>TSCHH6</t>
  </si>
  <si>
    <t>SC_CA_BUT_4181H_5461_01</t>
  </si>
  <si>
    <t>TSCHI1</t>
  </si>
  <si>
    <t>SC_CA_BUT_4181H_5461_02</t>
  </si>
  <si>
    <t>TSCHI2</t>
  </si>
  <si>
    <t>SC_CA_BUT_4181H_5461_03</t>
  </si>
  <si>
    <t>TSCFO4</t>
  </si>
  <si>
    <t>SC_CA_BUT_4181H_548_01</t>
  </si>
  <si>
    <t>TSCFO5</t>
  </si>
  <si>
    <t>SC_CA_BUT_4181H_548_02</t>
  </si>
  <si>
    <t>TSCFO6</t>
  </si>
  <si>
    <t>SC_CA_BUT_4181H_548_03</t>
  </si>
  <si>
    <t>TSCFP1</t>
  </si>
  <si>
    <t>SC_CA_BUT_4181H_548_04</t>
  </si>
  <si>
    <t>TSCFP2</t>
  </si>
  <si>
    <t>SC_CA_BUT_4181H_548_06</t>
  </si>
  <si>
    <t>TSCFP3</t>
  </si>
  <si>
    <t>SC_CA_BUT_4181H_548_07</t>
  </si>
  <si>
    <t>TSCFP4</t>
  </si>
  <si>
    <t>SC_CA_BUT_4181H_548_08</t>
  </si>
  <si>
    <t>TSCFP5</t>
  </si>
  <si>
    <t>SC_CA_BUT_4181H_548_09</t>
  </si>
  <si>
    <t>TSCFP6</t>
  </si>
  <si>
    <t>SC_CA_BUT_4181H_548_10</t>
  </si>
  <si>
    <t>TSCHU3</t>
  </si>
  <si>
    <t>SC_CA_BUT_4181H_5529_01</t>
  </si>
  <si>
    <t>TSCHU4</t>
  </si>
  <si>
    <t>SC_CA_BUT_4181H_5529_02</t>
  </si>
  <si>
    <t>TSCHU5</t>
  </si>
  <si>
    <t>SC_CA_BUT_4181H_5529_03</t>
  </si>
  <si>
    <t>TSCHU6</t>
  </si>
  <si>
    <t>SC_CA_BUT_4181H_5529_04</t>
  </si>
  <si>
    <t>TSCHI5</t>
  </si>
  <si>
    <t>SC_CA_BUT_4181H_5580_01</t>
  </si>
  <si>
    <t>TSCHI6</t>
  </si>
  <si>
    <t>SC_CA_BUT_4181H_5580_02</t>
  </si>
  <si>
    <t>TSCHJ1</t>
  </si>
  <si>
    <t>SC_CA_BUT_4181H_5580_03</t>
  </si>
  <si>
    <t>TSCHJ2</t>
  </si>
  <si>
    <t>SC_CA_BUT_4181H_5580_05</t>
  </si>
  <si>
    <t>TSCHK1</t>
  </si>
  <si>
    <t>SC_CA_BUT_4181H_5623_01</t>
  </si>
  <si>
    <t>TSCHK2</t>
  </si>
  <si>
    <t>SC_CA_BUT_4181H_5623_02</t>
  </si>
  <si>
    <t>TSCHK3</t>
  </si>
  <si>
    <t>SC_CA_BUT_4181H_5623_03</t>
  </si>
  <si>
    <t>TSCHK4</t>
  </si>
  <si>
    <t>SC_CA_BUT_4181H_5623_05</t>
  </si>
  <si>
    <t>TSCHK5</t>
  </si>
  <si>
    <t>SC_CA_BUT_4181H_5623_06</t>
  </si>
  <si>
    <t>TSCHJ3</t>
  </si>
  <si>
    <t>SC_CA_BUT_4181H_6008_02</t>
  </si>
  <si>
    <t>TSCHJ4</t>
  </si>
  <si>
    <t>SC_CA_BUT_4181H_6008_03</t>
  </si>
  <si>
    <t>TSCHJ5</t>
  </si>
  <si>
    <t>SC_CA_BUT_4181H_6008_04</t>
  </si>
  <si>
    <t>TSCHJ6</t>
  </si>
  <si>
    <t>SC_CA_BUT_4181H_6008_05</t>
  </si>
  <si>
    <t>TSCHK6</t>
  </si>
  <si>
    <t>SC_CA_BUT_4181H_6052_01</t>
  </si>
  <si>
    <t>TSCHL1</t>
  </si>
  <si>
    <t>SC_CA_BUT_4181H_6052_02</t>
  </si>
  <si>
    <t>TSCHL2</t>
  </si>
  <si>
    <t>SC_CA_BUT_4181H_6052_03</t>
  </si>
  <si>
    <t>TSCHL3</t>
  </si>
  <si>
    <t>SC_CA_BUT_4181H_6052_04</t>
  </si>
  <si>
    <t>TSCHI3</t>
  </si>
  <si>
    <t>SC_CA_BUT_4181H_6124_01</t>
  </si>
  <si>
    <t>TSCHI4</t>
  </si>
  <si>
    <t>SC_CA_BUT_4181H_6124_02</t>
  </si>
  <si>
    <t>TSCFS4</t>
  </si>
  <si>
    <t>SC_CA_BUT_4181H_635_02</t>
  </si>
  <si>
    <t>TSCFS5</t>
  </si>
  <si>
    <t>SC_CA_BUT_4181H_635_03</t>
  </si>
  <si>
    <t>TSCFS6</t>
  </si>
  <si>
    <t>SC_CA_BUT_4181H_635_04</t>
  </si>
  <si>
    <t>TSCFT1</t>
  </si>
  <si>
    <t>SC_CA_BUT_4181H_635_07</t>
  </si>
  <si>
    <t>TSCFT2</t>
  </si>
  <si>
    <t>SC_CA_BUT_4181H_635_08</t>
  </si>
  <si>
    <t>TSCFT3</t>
  </si>
  <si>
    <t>SC_CA_BUT_4181H_635_09</t>
  </si>
  <si>
    <t>TSCFT4</t>
  </si>
  <si>
    <t>SC_CA_BUT_4181H_635_10</t>
  </si>
  <si>
    <t>TSCFT5</t>
  </si>
  <si>
    <t>SC_CA_BUT_4181H_635_11</t>
  </si>
  <si>
    <t>TSCFT6</t>
  </si>
  <si>
    <t>SC_CA_BUT_4181H_635_12</t>
  </si>
  <si>
    <t>TSCFU1</t>
  </si>
  <si>
    <t>SC_CA_BUT_4181H_635_13</t>
  </si>
  <si>
    <t>TSCFU2</t>
  </si>
  <si>
    <t>SC_CA_BUT_4181H_635_14</t>
  </si>
  <si>
    <t>TSCFU3</t>
  </si>
  <si>
    <t>SC_CA_BUT_4181H_635_15</t>
  </si>
  <si>
    <t>TSCFM1</t>
  </si>
  <si>
    <t>SC_CA_BUT_4181H_710_01</t>
  </si>
  <si>
    <t>TSCFM2</t>
  </si>
  <si>
    <t>SC_CA_BUT_4181H_710_02</t>
  </si>
  <si>
    <t>TSCFM3</t>
  </si>
  <si>
    <t>SC_CA_BUT_4181H_710_03</t>
  </si>
  <si>
    <t>TSCFM4</t>
  </si>
  <si>
    <t>SC_CA_BUT_4181H_710_04</t>
  </si>
  <si>
    <t>TSCFM5</t>
  </si>
  <si>
    <t>SC_CA_BUT_4181H_710_05</t>
  </si>
  <si>
    <t>TSCFM6</t>
  </si>
  <si>
    <t>SC_CA_BUT_4181H_784_02</t>
  </si>
  <si>
    <t>TSCFN1</t>
  </si>
  <si>
    <t>SC_CA_BUT_4181H_784_03</t>
  </si>
  <si>
    <t>TSCFN2</t>
  </si>
  <si>
    <t>SC_CA_BUT_4181H_784_04</t>
  </si>
  <si>
    <t>TSCFN3</t>
  </si>
  <si>
    <t>SC_CA_BUT_4181H_784_05</t>
  </si>
  <si>
    <t>TSCFN4</t>
  </si>
  <si>
    <t>SC_CA_BUT_4181H_784_06</t>
  </si>
  <si>
    <t>TSCFN5</t>
  </si>
  <si>
    <t>SC_CA_BUT_4181H_784_07</t>
  </si>
  <si>
    <t>TSCHR4</t>
  </si>
  <si>
    <t>SC_CA_BUT_4181H_846_01</t>
  </si>
  <si>
    <t>TSCFR6</t>
  </si>
  <si>
    <t>SC_CA_BUT_4181H_850_01</t>
  </si>
  <si>
    <t>TSCFS1</t>
  </si>
  <si>
    <t>SC_CA_BUT_4181H_850_02</t>
  </si>
  <si>
    <t>TSCFS2</t>
  </si>
  <si>
    <t>SC_CA_BUT_4181H_850_03</t>
  </si>
  <si>
    <t>TSCFS3</t>
  </si>
  <si>
    <t>SC_CA_BUT_4181H_850_04</t>
  </si>
  <si>
    <t>TSCHR6</t>
  </si>
  <si>
    <t>SC_CA_BUT_4184_1268_01</t>
  </si>
  <si>
    <t>TSCFH6</t>
  </si>
  <si>
    <t>SC_CA_BUT_4185_044_01</t>
  </si>
  <si>
    <t>TSCFI1</t>
  </si>
  <si>
    <t>SC_CA_BUT_4185_044_02</t>
  </si>
  <si>
    <t>TSCFJ4</t>
  </si>
  <si>
    <t>SC_CA_BUT_4185_065_01</t>
  </si>
  <si>
    <t>TSCFJ5</t>
  </si>
  <si>
    <t>SC_CA_BUT_4185_065_02</t>
  </si>
  <si>
    <t>TSCFF1</t>
  </si>
  <si>
    <t>SC_CA_BUT_4185_1002_02</t>
  </si>
  <si>
    <t>TSCFF2</t>
  </si>
  <si>
    <t>SC_CA_BUT_4185_1002_03</t>
  </si>
  <si>
    <t>TSCFF3</t>
  </si>
  <si>
    <t>SC_CA_BUT_4185_1002_04</t>
  </si>
  <si>
    <t>TSCFF4</t>
  </si>
  <si>
    <t>SC_CA_BUT_4185_1002_05</t>
  </si>
  <si>
    <t>TSCFJ6</t>
  </si>
  <si>
    <t>SC_CA_BUT_4185_132_01</t>
  </si>
  <si>
    <t>TSCFK1</t>
  </si>
  <si>
    <t>SC_CA_BUT_4185_132_02</t>
  </si>
  <si>
    <t>TSCFE4</t>
  </si>
  <si>
    <t>SC_CA_BUT_4185_1626_01</t>
  </si>
  <si>
    <t>TSCFG5</t>
  </si>
  <si>
    <t>SC_CA_BUT_4185_1644_01</t>
  </si>
  <si>
    <t>TSCFG1</t>
  </si>
  <si>
    <t>SC_CA_BUT_4185_1657_01</t>
  </si>
  <si>
    <t>TSCFG6</t>
  </si>
  <si>
    <t>SC_CA_BUT_4185_1700_01</t>
  </si>
  <si>
    <t>TSCFH2</t>
  </si>
  <si>
    <t>SC_CA_BUT_4185_172_01</t>
  </si>
  <si>
    <t>TSCFH3</t>
  </si>
  <si>
    <t>SC_CA_BUT_4185_172_02</t>
  </si>
  <si>
    <t>TSCFH4</t>
  </si>
  <si>
    <t>SC_CA_BUT_4185_172_03</t>
  </si>
  <si>
    <t>TSCFH5</t>
  </si>
  <si>
    <t>SC_CA_BUT_4185_172_04</t>
  </si>
  <si>
    <t>TSCFI2</t>
  </si>
  <si>
    <t>SC_CA_BUT_4185_219_01</t>
  </si>
  <si>
    <t>TSCFI3</t>
  </si>
  <si>
    <t>SC_CA_BUT_4185_219_02</t>
  </si>
  <si>
    <t>TSCFI4</t>
  </si>
  <si>
    <t>SC_CA_BUT_4185_219_03</t>
  </si>
  <si>
    <t>TSCFI5</t>
  </si>
  <si>
    <t>SC_CA_BUT_4185_219_04</t>
  </si>
  <si>
    <t>TSCFI6</t>
  </si>
  <si>
    <t>SC_CA_BUT_4185_219_05</t>
  </si>
  <si>
    <t>TSCFJ1</t>
  </si>
  <si>
    <t>SC_CA_BUT_4185_219_06</t>
  </si>
  <si>
    <t>TSCFJ2</t>
  </si>
  <si>
    <t>SC_CA_BUT_4185_219_07</t>
  </si>
  <si>
    <t>TSCFJ3</t>
  </si>
  <si>
    <t>SC_CA_BUT_4185_219_08</t>
  </si>
  <si>
    <t>TSCFH1</t>
  </si>
  <si>
    <t>SC_CA_BUT_4185_253_01</t>
  </si>
  <si>
    <t>TSCHC6</t>
  </si>
  <si>
    <t>SC_CA_BUT_4185_544_02</t>
  </si>
  <si>
    <t>TSCHD1</t>
  </si>
  <si>
    <t>SC_CA_BUT_4185_544_03</t>
  </si>
  <si>
    <t>TSCHL6</t>
  </si>
  <si>
    <t>SC_CA_BUT_4185_597_01</t>
  </si>
  <si>
    <t>TSCHM1</t>
  </si>
  <si>
    <t>SC_CA_BUT_4185_597_03</t>
  </si>
  <si>
    <t>TSCHB3</t>
  </si>
  <si>
    <t>SC_CA_BUT_4185_635_01</t>
  </si>
  <si>
    <t>TSCHB4</t>
  </si>
  <si>
    <t>SC_CA_BUT_4185_635_02</t>
  </si>
  <si>
    <t>TSCHB5</t>
  </si>
  <si>
    <t>SC_CA_BUT_4185_635_03</t>
  </si>
  <si>
    <t>TSCHB6</t>
  </si>
  <si>
    <t>SC_CA_BUT_4185_635_04</t>
  </si>
  <si>
    <t>TSCHC1</t>
  </si>
  <si>
    <t>SC_CA_BUT_4185_635_05</t>
  </si>
  <si>
    <t>TSCHT3</t>
  </si>
  <si>
    <t>SC_CA_BUT_4185_635_07</t>
  </si>
  <si>
    <t>TSCHC2</t>
  </si>
  <si>
    <t>SC_CA_BUT_4185_719_01</t>
  </si>
  <si>
    <t>TSCHC3</t>
  </si>
  <si>
    <t>SC_CA_BUT_4185_719_02</t>
  </si>
  <si>
    <t>TSCHC4</t>
  </si>
  <si>
    <t>SC_CA_BUT_4185_719_03</t>
  </si>
  <si>
    <t>TSCHC5</t>
  </si>
  <si>
    <t>SC_CA_BUT_4185_719_04</t>
  </si>
  <si>
    <t>TSCHP4</t>
  </si>
  <si>
    <t>SC_CA_BUT_4185_799_01</t>
  </si>
  <si>
    <t>TSCHP3</t>
  </si>
  <si>
    <t>SC_CA_BUT_4185_799_02</t>
  </si>
  <si>
    <t>TSCHP2</t>
  </si>
  <si>
    <t>SC_CA_BUT_4185_799_03</t>
  </si>
  <si>
    <t>TSCHP1</t>
  </si>
  <si>
    <t>SC_CA_BUT_4185_799_04</t>
  </si>
  <si>
    <t>TSCHO6</t>
  </si>
  <si>
    <t>SC_CA_BUT_4185_799_05</t>
  </si>
  <si>
    <t>TSCHO5</t>
  </si>
  <si>
    <t>SC_CA_BUT_4185_799_07</t>
  </si>
  <si>
    <t>TSCHO4</t>
  </si>
  <si>
    <t>SC_CA_BUT_4185_799_08</t>
  </si>
  <si>
    <t>TSCHO3</t>
  </si>
  <si>
    <t>SC_CA_BUT_4185_799_09</t>
  </si>
  <si>
    <t>TSCHO2</t>
  </si>
  <si>
    <t>SC_CA_BUT_4185_799_10</t>
  </si>
  <si>
    <t>TSCHO1</t>
  </si>
  <si>
    <t>SC_CA_BUT_4185_799_11</t>
  </si>
  <si>
    <t>TSCHN6</t>
  </si>
  <si>
    <t>SC_CA_BUT_4185_799_12</t>
  </si>
  <si>
    <t>TSCHN5</t>
  </si>
  <si>
    <t>SC_CA_BUT_4185_799_13</t>
  </si>
  <si>
    <t>TSCHN4</t>
  </si>
  <si>
    <t>SC_CA_BUT_4185_799_15</t>
  </si>
  <si>
    <t>TSCFG2</t>
  </si>
  <si>
    <t>SC_CA_BUT_4185_913_01</t>
  </si>
  <si>
    <t>TSCFG3</t>
  </si>
  <si>
    <t>SC_CA_BUT_4185_913_03</t>
  </si>
  <si>
    <t>TSCFG4</t>
  </si>
  <si>
    <t>SC_CA_BUT_4185_913_04</t>
  </si>
  <si>
    <t>TSCFF5</t>
  </si>
  <si>
    <t>SC_CA_BUT_4185_952_01</t>
  </si>
  <si>
    <t>TSCFF6</t>
  </si>
  <si>
    <t>SC_CA_BUT_4185_952_02</t>
  </si>
  <si>
    <t>TSCHT2</t>
  </si>
  <si>
    <t>SC_CA_BUT_4190_2833_01</t>
  </si>
  <si>
    <t>TSCHS5</t>
  </si>
  <si>
    <t>SC_CA_BUT_4190_2839_01</t>
  </si>
  <si>
    <t>TSCHS4</t>
  </si>
  <si>
    <t>SC_CA_BUT_4190_2839_02</t>
  </si>
  <si>
    <t>TSCHT1</t>
  </si>
  <si>
    <t>SC_CA_BUT_4190_2843_01</t>
  </si>
  <si>
    <t>TSCFE3</t>
  </si>
  <si>
    <t>SC_CA_BUT_4190_2865_01</t>
  </si>
  <si>
    <t>TSCFK2</t>
  </si>
  <si>
    <t>SC_CA_BUT_4191_2641_01</t>
  </si>
  <si>
    <t>TSCFL2</t>
  </si>
  <si>
    <t>SC_CA_BUT_4191_2644_01</t>
  </si>
  <si>
    <t>TSCFL1</t>
  </si>
  <si>
    <t>SC_CA_BUT_4191_2646_01</t>
  </si>
  <si>
    <t>TSCFK3</t>
  </si>
  <si>
    <t>SC_CA_BUT_4191_2663_01</t>
  </si>
  <si>
    <t>TSCFK4</t>
  </si>
  <si>
    <t>SC_CA_BUT_4191_2663_02</t>
  </si>
  <si>
    <t>TSCFL6</t>
  </si>
  <si>
    <t>SC_CA_BUT_4191_2664_01</t>
  </si>
  <si>
    <t>TSCFK5</t>
  </si>
  <si>
    <t>SC_CA_BUT_4191_2667_01</t>
  </si>
  <si>
    <t>TSCFK6</t>
  </si>
  <si>
    <t>SC_CA_BUT_4191_2667_02</t>
  </si>
  <si>
    <t>TSCFL4</t>
  </si>
  <si>
    <t>SC_CA_BUT_4191_2685_01</t>
  </si>
  <si>
    <t>TSCFL5</t>
  </si>
  <si>
    <t>SC_CA_BUT_4191_2686_01</t>
  </si>
  <si>
    <t>TSCFL3</t>
  </si>
  <si>
    <t>SC_CA_BUT_4191_2698_01</t>
  </si>
  <si>
    <t>TSCDO2</t>
  </si>
  <si>
    <t>SC_YUB_15237</t>
  </si>
  <si>
    <t>TSCDO3</t>
  </si>
  <si>
    <t>SC_YUB_15238</t>
  </si>
  <si>
    <t>TSCDO4</t>
  </si>
  <si>
    <t>SC_YUB_15239</t>
  </si>
  <si>
    <t>TSCDO5</t>
  </si>
  <si>
    <t>SC_YUB_15240</t>
  </si>
  <si>
    <t>TSCDO6</t>
  </si>
  <si>
    <t>SC_YUB_15252</t>
  </si>
  <si>
    <t>TSCDP1</t>
  </si>
  <si>
    <t>SC_YUB_15253</t>
  </si>
  <si>
    <t>TSCCR2</t>
  </si>
  <si>
    <t>SC_YUB_15301</t>
  </si>
  <si>
    <t>TSCCR3</t>
  </si>
  <si>
    <t>SC_YUB_15302</t>
  </si>
  <si>
    <t>TSCCR4</t>
  </si>
  <si>
    <t>SC_YUB_15303</t>
  </si>
  <si>
    <t>TSCCR5</t>
  </si>
  <si>
    <t>SC_YUB_15304</t>
  </si>
  <si>
    <t>TSCCO2</t>
  </si>
  <si>
    <t>SC_YUB_15307</t>
  </si>
  <si>
    <t>TSCCO3</t>
  </si>
  <si>
    <t>SC_YUB_15308</t>
  </si>
  <si>
    <t>TSCCO4</t>
  </si>
  <si>
    <t>SC_YUB_15310</t>
  </si>
  <si>
    <t>TSCCO5</t>
  </si>
  <si>
    <t>SC_YUB_15314</t>
  </si>
  <si>
    <t>TSCCO6</t>
  </si>
  <si>
    <t>SC_YUB_15315</t>
  </si>
  <si>
    <t>TSCCP1</t>
  </si>
  <si>
    <t>SC_YUB_15316</t>
  </si>
  <si>
    <t>TSCCP2</t>
  </si>
  <si>
    <t>SC_YUB_15318</t>
  </si>
  <si>
    <t>TSCCP3</t>
  </si>
  <si>
    <t>SC_YUB_15319</t>
  </si>
  <si>
    <t>TSCCP4</t>
  </si>
  <si>
    <t>SC_YUB_15321</t>
  </si>
  <si>
    <t>TSCCP5</t>
  </si>
  <si>
    <t>SC_YUB_15322</t>
  </si>
  <si>
    <t>TSCCP6</t>
  </si>
  <si>
    <t>SC_YUB_15323</t>
  </si>
  <si>
    <t>TSCCQ1</t>
  </si>
  <si>
    <t>SC_YUB_15324</t>
  </si>
  <si>
    <t>TSCCQ3</t>
  </si>
  <si>
    <t>SC_YUB_15325</t>
  </si>
  <si>
    <t>TSCCQ4</t>
  </si>
  <si>
    <t>SC_YUB_15326</t>
  </si>
  <si>
    <t>TSCCQ2</t>
  </si>
  <si>
    <t>SC_YUB_15327</t>
  </si>
  <si>
    <t>TSCCQ5</t>
  </si>
  <si>
    <t>SC_YUB_15351</t>
  </si>
  <si>
    <t>TSCCQ6</t>
  </si>
  <si>
    <t>SC_YUB_15352</t>
  </si>
  <si>
    <t>TSCCR1</t>
  </si>
  <si>
    <t>SC_YUB_15353</t>
  </si>
  <si>
    <t>TSCCM3</t>
  </si>
  <si>
    <t>SC_YUB_15354</t>
  </si>
  <si>
    <t>TSCCM1</t>
  </si>
  <si>
    <t>SC_YUB_15355</t>
  </si>
  <si>
    <t>TSCCM6</t>
  </si>
  <si>
    <t>SC_YUB_15356</t>
  </si>
  <si>
    <t>TSCCN2</t>
  </si>
  <si>
    <t>SC_YUB_15357</t>
  </si>
  <si>
    <t>TSCCN3</t>
  </si>
  <si>
    <t>SC_YUB_15358</t>
  </si>
  <si>
    <t>TSCCN4</t>
  </si>
  <si>
    <t>SC_YUB_15359</t>
  </si>
  <si>
    <t>TSCCM4</t>
  </si>
  <si>
    <t>SC_YUB_15360</t>
  </si>
  <si>
    <t>TSCCM5</t>
  </si>
  <si>
    <t>SC_YUB_15361</t>
  </si>
  <si>
    <t>TSCCN5</t>
  </si>
  <si>
    <t>SC_YUB_15362</t>
  </si>
  <si>
    <t>TSCCN1</t>
  </si>
  <si>
    <t>SC_YUB_15363</t>
  </si>
  <si>
    <t>TSCCM2</t>
  </si>
  <si>
    <t>SC_YUB_15364</t>
  </si>
  <si>
    <t>TSCCN6</t>
  </si>
  <si>
    <t>SC_YUB_15365</t>
  </si>
  <si>
    <t>TSCCO1</t>
  </si>
  <si>
    <t>SC_YUB_15366</t>
  </si>
  <si>
    <t>TSCCK4</t>
  </si>
  <si>
    <t>SC_YUB_15367</t>
  </si>
  <si>
    <t>TSCCK5</t>
  </si>
  <si>
    <t>SC_YUB_15368</t>
  </si>
  <si>
    <t>TSCCK6</t>
  </si>
  <si>
    <t>SC_YUB_15370</t>
  </si>
  <si>
    <t>TSCCL1</t>
  </si>
  <si>
    <t>SC_YUB_15373</t>
  </si>
  <si>
    <t>TSCCL2</t>
  </si>
  <si>
    <t>SC_YUB_15374</t>
  </si>
  <si>
    <t>TSCCL6</t>
  </si>
  <si>
    <t>SC_YUB_15375</t>
  </si>
  <si>
    <t>TSCCL3</t>
  </si>
  <si>
    <t>SC_YUB_15379</t>
  </si>
  <si>
    <t>TSCCL4</t>
  </si>
  <si>
    <t>SC_YUB_15380</t>
  </si>
  <si>
    <t>TSCCL5</t>
  </si>
  <si>
    <t>SC_YUB_15381</t>
  </si>
  <si>
    <t>TSCDC6</t>
  </si>
  <si>
    <t>SC_YUB_30427</t>
  </si>
  <si>
    <t>TSCDC4</t>
  </si>
  <si>
    <t>SC_YUB_30442</t>
  </si>
  <si>
    <t>TSCDC5</t>
  </si>
  <si>
    <t>SC_YUB_30445</t>
  </si>
  <si>
    <t>TSCDC3</t>
  </si>
  <si>
    <t>SC_YUB_30449</t>
  </si>
  <si>
    <t>TSCDC2</t>
  </si>
  <si>
    <t>SC_YUB_30451</t>
  </si>
  <si>
    <t>TSCDC1</t>
  </si>
  <si>
    <t>SC_YUB_30452</t>
  </si>
  <si>
    <t>TSCDB6</t>
  </si>
  <si>
    <t>SC_YUB_30454</t>
  </si>
  <si>
    <t>TSCDB5</t>
  </si>
  <si>
    <t>SC_YUB_30455</t>
  </si>
  <si>
    <t>TSCDB4</t>
  </si>
  <si>
    <t>SC_YUB_30456</t>
  </si>
  <si>
    <t>TSCDB3</t>
  </si>
  <si>
    <t>SC_YUB_30460</t>
  </si>
  <si>
    <t>TSCDB2</t>
  </si>
  <si>
    <t>SC_YUB_30461</t>
  </si>
  <si>
    <t>TSCDB1</t>
  </si>
  <si>
    <t>SC_YUB_30489</t>
  </si>
  <si>
    <t>TSCDA6</t>
  </si>
  <si>
    <t>SC_YUB_30490</t>
  </si>
  <si>
    <t>TSCDA5</t>
  </si>
  <si>
    <t>SC_YUB_30492</t>
  </si>
  <si>
    <t>TSCDA4</t>
  </si>
  <si>
    <t>SC_YUB_30493</t>
  </si>
  <si>
    <t>TSCCJ1</t>
  </si>
  <si>
    <t>SC_YUB_36252</t>
  </si>
  <si>
    <t>TSCCJ2</t>
  </si>
  <si>
    <t>SC_YUB_36253</t>
  </si>
  <si>
    <t>TSCDA3</t>
  </si>
  <si>
    <t>SC_YUB_36255</t>
  </si>
  <si>
    <t>TSCDA2</t>
  </si>
  <si>
    <t>SC_YUB_36256</t>
  </si>
  <si>
    <t>TSCDA1</t>
  </si>
  <si>
    <t>SC_YUB_36259</t>
  </si>
  <si>
    <t>TSCCJ3</t>
  </si>
  <si>
    <t>SC_YUB_36270</t>
  </si>
  <si>
    <t>TSCCJ4</t>
  </si>
  <si>
    <t>SC_YUB_36586</t>
  </si>
  <si>
    <t>TSCCJ5</t>
  </si>
  <si>
    <t>SC_YUB_36587</t>
  </si>
  <si>
    <t>TSCCJ6</t>
  </si>
  <si>
    <t>SC_YUB_36588</t>
  </si>
  <si>
    <t>TSCDG2</t>
  </si>
  <si>
    <t>SC_YUB_36589</t>
  </si>
  <si>
    <t>TSCDG3</t>
  </si>
  <si>
    <t>SC_YUB_36592</t>
  </si>
  <si>
    <t>TSCDG4</t>
  </si>
  <si>
    <t>SC_YUB_36593</t>
  </si>
  <si>
    <t>TSCDG5</t>
  </si>
  <si>
    <t>SC_YUB_36594</t>
  </si>
  <si>
    <t>TSCDG6</t>
  </si>
  <si>
    <t>SC_YUB_36595</t>
  </si>
  <si>
    <t>TSCDF3</t>
  </si>
  <si>
    <t>SC_YUB_36597</t>
  </si>
  <si>
    <t>TSCDF4</t>
  </si>
  <si>
    <t>SC_YUB_43727</t>
  </si>
  <si>
    <t>TSCDF5</t>
  </si>
  <si>
    <t>SC_YUB_43731</t>
  </si>
  <si>
    <t>TSCDG1</t>
  </si>
  <si>
    <t>SC_YUB_43735</t>
  </si>
  <si>
    <t>TSCDF6</t>
  </si>
  <si>
    <t>SC_YUB_43736</t>
  </si>
  <si>
    <t>TSCDE4</t>
  </si>
  <si>
    <t>SC_YUB_43737</t>
  </si>
  <si>
    <t>TSCDE5</t>
  </si>
  <si>
    <t>SC_YUB_43744</t>
  </si>
  <si>
    <t>TSCDE6</t>
  </si>
  <si>
    <t>SC_YUB_43750</t>
  </si>
  <si>
    <t>TSCDJ6</t>
  </si>
  <si>
    <t>SC_YUB_61190</t>
  </si>
  <si>
    <t>TSCDK1</t>
  </si>
  <si>
    <t>SC_YUB_61191</t>
  </si>
  <si>
    <t>TSCDK2</t>
  </si>
  <si>
    <t>SC_YUB_61192</t>
  </si>
  <si>
    <t>TSCDK3</t>
  </si>
  <si>
    <t>SC_YUB_61193</t>
  </si>
  <si>
    <t>TSCDK4</t>
  </si>
  <si>
    <t>SC_YUB_61194</t>
  </si>
  <si>
    <t>TSCDK5</t>
  </si>
  <si>
    <t>SC_YUB_61195</t>
  </si>
  <si>
    <t>TSCDK6</t>
  </si>
  <si>
    <t>SC_YUB_61196</t>
  </si>
  <si>
    <t>TSCDL1</t>
  </si>
  <si>
    <t>SC_YUB_61197</t>
  </si>
  <si>
    <t>TSCDM2</t>
  </si>
  <si>
    <t>SC_YUB_61253</t>
  </si>
  <si>
    <t>TSCDL3</t>
  </si>
  <si>
    <t>SC_YUB_61274</t>
  </si>
  <si>
    <t>TSCDL4</t>
  </si>
  <si>
    <t>SC_YUB_61275</t>
  </si>
  <si>
    <t>TSCDL5</t>
  </si>
  <si>
    <t>SC_YUB_61277</t>
  </si>
  <si>
    <t>TSCDL6</t>
  </si>
  <si>
    <t>SC_YUB_61278</t>
  </si>
  <si>
    <t>TSCDM1</t>
  </si>
  <si>
    <t>SC_YUB_61279</t>
  </si>
  <si>
    <t>TSCCK1</t>
  </si>
  <si>
    <t>SC_YUB_61280</t>
  </si>
  <si>
    <t>TSCDN4</t>
  </si>
  <si>
    <t>SC_YUB_61283</t>
  </si>
  <si>
    <t>TSCDN5</t>
  </si>
  <si>
    <t>SC_YUB_61284</t>
  </si>
  <si>
    <t>TSCDN6</t>
  </si>
  <si>
    <t>SC_YUB_61288</t>
  </si>
  <si>
    <t>TSCDO1</t>
  </si>
  <si>
    <t>SC_YUB_61289</t>
  </si>
  <si>
    <t>TSCDH1</t>
  </si>
  <si>
    <t>SC_YUB_61292</t>
  </si>
  <si>
    <t>TSCDH2</t>
  </si>
  <si>
    <t>SC_YUB_61293</t>
  </si>
  <si>
    <t>TSCDH3</t>
  </si>
  <si>
    <t>SC_YUB_61294</t>
  </si>
  <si>
    <t>TSCDH4</t>
  </si>
  <si>
    <t>SC_YUB_61295</t>
  </si>
  <si>
    <t>TSCDH5</t>
  </si>
  <si>
    <t>SC_YUB_61296</t>
  </si>
  <si>
    <t>TSCDH6</t>
  </si>
  <si>
    <t>SC_YUB_61298</t>
  </si>
  <si>
    <t>TSCDI1</t>
  </si>
  <si>
    <t>SC_YUB_61299</t>
  </si>
  <si>
    <t>TSCDI2</t>
  </si>
  <si>
    <t>SC_YUB_61300</t>
  </si>
  <si>
    <t>TSCDL2</t>
  </si>
  <si>
    <t>SC_YUB_61302</t>
  </si>
  <si>
    <t>TSCCK3</t>
  </si>
  <si>
    <t>SC_YUB_61303</t>
  </si>
  <si>
    <t>TSCCK2</t>
  </si>
  <si>
    <t>SC_YUB_61304</t>
  </si>
  <si>
    <t>TSCDM4</t>
  </si>
  <si>
    <t>SC_YUB_61305</t>
  </si>
  <si>
    <t>TSCDM5</t>
  </si>
  <si>
    <t>SC_YUB_61306</t>
  </si>
  <si>
    <t>TSCDM6</t>
  </si>
  <si>
    <t>SC_YUB_61307</t>
  </si>
  <si>
    <t>TSCDN1</t>
  </si>
  <si>
    <t>SC_YUB_61308</t>
  </si>
  <si>
    <t>TSCDN2</t>
  </si>
  <si>
    <t>SC_YUB_61309</t>
  </si>
  <si>
    <t>TSCDN3</t>
  </si>
  <si>
    <t>SC_YUB_61310</t>
  </si>
  <si>
    <t>TSCDM3</t>
  </si>
  <si>
    <t>SC_YUB_61311</t>
  </si>
  <si>
    <t>TSCDI3</t>
  </si>
  <si>
    <t>SC_YUB_61312</t>
  </si>
  <si>
    <t>TSCDI4</t>
  </si>
  <si>
    <t>SC_YUB_61313</t>
  </si>
  <si>
    <t>TSCDI5</t>
  </si>
  <si>
    <t>SC_YUB_61314</t>
  </si>
  <si>
    <t>TSCDI6</t>
  </si>
  <si>
    <t>SC_YUB_61315</t>
  </si>
  <si>
    <t>TSCDJ1</t>
  </si>
  <si>
    <t>SC_YUB_61316</t>
  </si>
  <si>
    <t>TSCDJ2</t>
  </si>
  <si>
    <t>SC_YUB_61317</t>
  </si>
  <si>
    <t>TSCDJ3</t>
  </si>
  <si>
    <t>SC_YUB_61318</t>
  </si>
  <si>
    <t>TSCDJ4</t>
  </si>
  <si>
    <t>SC_YUB_61319</t>
  </si>
  <si>
    <t>TSCDJ5</t>
  </si>
  <si>
    <t>SC_YUB_61326</t>
  </si>
  <si>
    <t>TSCDF1</t>
  </si>
  <si>
    <t>SC_YUB_78290</t>
  </si>
  <si>
    <t>TSCDF2</t>
  </si>
  <si>
    <t>SC_YUB_78291</t>
  </si>
  <si>
    <t>TSCDD6</t>
  </si>
  <si>
    <t>SC_YUB_78296</t>
  </si>
  <si>
    <t>TSCDE1</t>
  </si>
  <si>
    <t>SC_YUB_78297</t>
  </si>
  <si>
    <t>TSCDE2</t>
  </si>
  <si>
    <t>SC_YUB_78299</t>
  </si>
  <si>
    <t>TSCDE3</t>
  </si>
  <si>
    <t>SC_YUB_78300</t>
  </si>
  <si>
    <t>TSCDD2</t>
  </si>
  <si>
    <t>SC_YUB_78301</t>
  </si>
  <si>
    <t>TSCDD3</t>
  </si>
  <si>
    <t>SC_YUB_78303</t>
  </si>
  <si>
    <t>TSCDD4</t>
  </si>
  <si>
    <t>SC_YUB_78304</t>
  </si>
  <si>
    <t>TSCDD5</t>
  </si>
  <si>
    <t>SC_YUB_78305</t>
  </si>
  <si>
    <t>TSCDD1</t>
  </si>
  <si>
    <t>SC_YUB_78308</t>
  </si>
  <si>
    <t>PFAA1</t>
  </si>
  <si>
    <t>BUT07282101</t>
  </si>
  <si>
    <t>PFAA2</t>
  </si>
  <si>
    <t>BUT07282102</t>
  </si>
  <si>
    <t>PFAA3</t>
  </si>
  <si>
    <t>BUT07282103</t>
  </si>
  <si>
    <t>PFAA4</t>
  </si>
  <si>
    <t>BUT07282104</t>
  </si>
  <si>
    <t>PFAA5</t>
  </si>
  <si>
    <t>BUT07282105</t>
  </si>
  <si>
    <t>PFAA6</t>
  </si>
  <si>
    <t>BUT07282106</t>
  </si>
  <si>
    <t>PFAB1</t>
  </si>
  <si>
    <t>BUT07282107</t>
  </si>
  <si>
    <t>PFAB2</t>
  </si>
  <si>
    <t>BUT07282108</t>
  </si>
  <si>
    <t>PFAB3</t>
  </si>
  <si>
    <t>BUT07282109</t>
  </si>
  <si>
    <t>PFAB4</t>
  </si>
  <si>
    <t>BUT07282110</t>
  </si>
  <si>
    <t>PFAB5</t>
  </si>
  <si>
    <t>BUT07282111</t>
  </si>
  <si>
    <t>PFAB6</t>
  </si>
  <si>
    <t>BUT07282112</t>
  </si>
  <si>
    <t>PFAC1</t>
  </si>
  <si>
    <t>BUT07282113</t>
  </si>
  <si>
    <t>PFAC2</t>
  </si>
  <si>
    <t>BUT07282114</t>
  </si>
  <si>
    <t>PFAC3</t>
  </si>
  <si>
    <t>BUT07282115</t>
  </si>
  <si>
    <t>PFAC4</t>
  </si>
  <si>
    <t>BUT07282116</t>
  </si>
  <si>
    <t>PFAC5</t>
  </si>
  <si>
    <t>BUT07282117</t>
  </si>
  <si>
    <t>PFAC6</t>
  </si>
  <si>
    <t>BUT07282118</t>
  </si>
  <si>
    <t>PFAD1</t>
  </si>
  <si>
    <t>BUT07282119</t>
  </si>
  <si>
    <t>PFAD2</t>
  </si>
  <si>
    <t>BUT07282120</t>
  </si>
  <si>
    <t>PFAD3</t>
  </si>
  <si>
    <t>BUT10052150</t>
  </si>
  <si>
    <t>PFAD4</t>
  </si>
  <si>
    <t>BUT10052151</t>
  </si>
  <si>
    <t>PFAD5</t>
  </si>
  <si>
    <t>BUT10052152</t>
  </si>
  <si>
    <t>PFAD6</t>
  </si>
  <si>
    <t>BUT10052153</t>
  </si>
  <si>
    <t>PFAE1</t>
  </si>
  <si>
    <t>BUT10052154</t>
  </si>
  <si>
    <t>PFAE2</t>
  </si>
  <si>
    <t>BUT10052155</t>
  </si>
  <si>
    <t>PFAE3</t>
  </si>
  <si>
    <t>BUT10052156</t>
  </si>
  <si>
    <t>PFAE4</t>
  </si>
  <si>
    <t>BUT10052157</t>
  </si>
  <si>
    <t>PFAE5</t>
  </si>
  <si>
    <t>BUT10052158</t>
  </si>
  <si>
    <t>PFAE6</t>
  </si>
  <si>
    <t>BUT10052159</t>
  </si>
  <si>
    <t>PFAF1</t>
  </si>
  <si>
    <t>BUT10052160</t>
  </si>
  <si>
    <t>PFAF2</t>
  </si>
  <si>
    <t>BUT10122161</t>
  </si>
  <si>
    <t>PFAF3</t>
  </si>
  <si>
    <t>BUT10122162</t>
  </si>
  <si>
    <t>PFAF4</t>
  </si>
  <si>
    <t>BUT10122163</t>
  </si>
  <si>
    <t>PFAF5</t>
  </si>
  <si>
    <t>BUT10122164</t>
  </si>
  <si>
    <t>PFAF6</t>
  </si>
  <si>
    <t>BUT10122165</t>
  </si>
  <si>
    <t>PFAG1</t>
  </si>
  <si>
    <t>BUT10122166</t>
  </si>
  <si>
    <t>PFAG2</t>
  </si>
  <si>
    <t>BUT10122167</t>
  </si>
  <si>
    <t>PFAG3</t>
  </si>
  <si>
    <t>BUT10122168</t>
  </si>
  <si>
    <t>PFAG4</t>
  </si>
  <si>
    <t>BUT10122169</t>
  </si>
  <si>
    <t>PFAG5</t>
  </si>
  <si>
    <t>BUT10122170</t>
  </si>
  <si>
    <t>PFAG6</t>
  </si>
  <si>
    <t>BUT10122171</t>
  </si>
  <si>
    <t>PFAH1</t>
  </si>
  <si>
    <t>BUT10122172</t>
  </si>
  <si>
    <t>PFAH2</t>
  </si>
  <si>
    <t>BUT10152173</t>
  </si>
  <si>
    <t>PFAH3</t>
  </si>
  <si>
    <t>BUT10152174</t>
  </si>
  <si>
    <t>PFAH4</t>
  </si>
  <si>
    <t>BUT10152175</t>
  </si>
  <si>
    <t>PFAH5</t>
  </si>
  <si>
    <t>BUT10152176</t>
  </si>
  <si>
    <t>PFAH6</t>
  </si>
  <si>
    <t>BUT10152177</t>
  </si>
  <si>
    <t>PFAI1</t>
  </si>
  <si>
    <t>BUT10152178</t>
  </si>
  <si>
    <t>PFAI2</t>
  </si>
  <si>
    <t>BUT10152179</t>
  </si>
  <si>
    <t>PFAI3</t>
  </si>
  <si>
    <t>BUT10152180</t>
  </si>
  <si>
    <t>PFAI4</t>
  </si>
  <si>
    <t>BUT10152181</t>
  </si>
  <si>
    <t>PFAI5</t>
  </si>
  <si>
    <t>BUT10152182</t>
  </si>
  <si>
    <t>PFAI6</t>
  </si>
  <si>
    <t>BUT10152183</t>
  </si>
  <si>
    <t>PFAJ1</t>
  </si>
  <si>
    <t>BUT10202184</t>
  </si>
  <si>
    <t>PFAJ2</t>
  </si>
  <si>
    <t>BUT10202185</t>
  </si>
  <si>
    <t>PFAJ3</t>
  </si>
  <si>
    <t>BUT10202186</t>
  </si>
  <si>
    <t>PFAJ4</t>
  </si>
  <si>
    <t>BUT10202187</t>
  </si>
  <si>
    <t>PFAJ5</t>
  </si>
  <si>
    <t>BUT10202188</t>
  </si>
  <si>
    <t>TSCEQ5</t>
  </si>
  <si>
    <t>BC-809022-B2</t>
  </si>
  <si>
    <t>TSCEQ6</t>
  </si>
  <si>
    <t>BC-809022-B1</t>
  </si>
  <si>
    <t>TSCER1</t>
  </si>
  <si>
    <t>BC-080922-B3</t>
  </si>
  <si>
    <t>TSCER2</t>
  </si>
  <si>
    <t>BC-080922-B4</t>
  </si>
  <si>
    <t>TSCER3</t>
  </si>
  <si>
    <t>BC-081622-A2</t>
  </si>
  <si>
    <t>TSCER4</t>
  </si>
  <si>
    <t>BC-080922-A1</t>
  </si>
  <si>
    <t>TSCER5</t>
  </si>
  <si>
    <t>BC-080922-A2</t>
  </si>
  <si>
    <t>TSCER6</t>
  </si>
  <si>
    <t>BC-081122-C1</t>
  </si>
  <si>
    <t>TSCES1</t>
  </si>
  <si>
    <t>BC-081622-B1</t>
  </si>
  <si>
    <t>TSCES2</t>
  </si>
  <si>
    <t>BC-081622-B2</t>
  </si>
  <si>
    <t>TSCES3</t>
  </si>
  <si>
    <t>BC-081622-B3</t>
  </si>
  <si>
    <t>TSCES4</t>
  </si>
  <si>
    <t>BC-081622-B4</t>
  </si>
  <si>
    <t>TSCES5</t>
  </si>
  <si>
    <t>BC-081622-B6</t>
  </si>
  <si>
    <t>TSCES6</t>
  </si>
  <si>
    <t>BC-081622-B7</t>
  </si>
  <si>
    <t>TSCET1</t>
  </si>
  <si>
    <t>BC-081622-A1</t>
  </si>
  <si>
    <t>TSCET2</t>
  </si>
  <si>
    <t>BC-081622-A3</t>
  </si>
  <si>
    <t>TSCET3</t>
  </si>
  <si>
    <t>BC-081622-A4</t>
  </si>
  <si>
    <t>TSCET4</t>
  </si>
  <si>
    <t>BC-081822-C1</t>
  </si>
  <si>
    <t>TSCET5</t>
  </si>
  <si>
    <t>BC-081822-D1</t>
  </si>
  <si>
    <t>TSCET6</t>
  </si>
  <si>
    <t>BC-082322-B1</t>
  </si>
  <si>
    <t>TSCEU2</t>
  </si>
  <si>
    <t>BC-082322-A2</t>
  </si>
  <si>
    <t>TSCEU1</t>
  </si>
  <si>
    <t>BC-082322-B2</t>
  </si>
  <si>
    <t>TSCEU3</t>
  </si>
  <si>
    <t>BC-083022-A6</t>
  </si>
  <si>
    <t>TSCEU4</t>
  </si>
  <si>
    <t>BC-082522-C1</t>
  </si>
  <si>
    <t>TSCEU5</t>
  </si>
  <si>
    <t>BC-083022-B1</t>
  </si>
  <si>
    <t>TSCEU6</t>
  </si>
  <si>
    <t>BC-083022-B2</t>
  </si>
  <si>
    <t>TSCEV1</t>
  </si>
  <si>
    <t>BC-083022-B3</t>
  </si>
  <si>
    <t>TSCEV2</t>
  </si>
  <si>
    <t>BC-083022-B4</t>
  </si>
  <si>
    <t>TSCEV3</t>
  </si>
  <si>
    <t>BC-083022-B5</t>
  </si>
  <si>
    <t>TSCEV4</t>
  </si>
  <si>
    <t>BC-083022-A1</t>
  </si>
  <si>
    <t>TSCEV5</t>
  </si>
  <si>
    <t>BC-083022-B6</t>
  </si>
  <si>
    <t>TSCEV6</t>
  </si>
  <si>
    <t>BC-083022-A2</t>
  </si>
  <si>
    <t>TSCEW1</t>
  </si>
  <si>
    <t>BC-083022-A3</t>
  </si>
  <si>
    <t>TSCEW2</t>
  </si>
  <si>
    <t>BC-083022-A5</t>
  </si>
  <si>
    <t>TSCEW3</t>
  </si>
  <si>
    <t>BC-083022-A7</t>
  </si>
  <si>
    <t>TSCEW4</t>
  </si>
  <si>
    <t>BC-083022-A8</t>
  </si>
  <si>
    <t>TSCEW5</t>
  </si>
  <si>
    <t>BC-083022-A9</t>
  </si>
  <si>
    <t>TSCEW6</t>
  </si>
  <si>
    <t>BC-091322-B1</t>
  </si>
  <si>
    <t>TSCEX1</t>
  </si>
  <si>
    <t>BC-090622-A4</t>
  </si>
  <si>
    <t>TSCEX2</t>
  </si>
  <si>
    <t>BC-090822-C1</t>
  </si>
  <si>
    <t>TSCEX3</t>
  </si>
  <si>
    <t>BC-091322-B3</t>
  </si>
  <si>
    <t>TSCEX4</t>
  </si>
  <si>
    <t>BC-091322-B6</t>
  </si>
  <si>
    <t>TSCEX5</t>
  </si>
  <si>
    <t>BC-091322-B5</t>
  </si>
  <si>
    <t>TSCEX6</t>
  </si>
  <si>
    <t>BC-082322-A4</t>
  </si>
  <si>
    <t>TSCEY1</t>
  </si>
  <si>
    <t>BC-082322-A7</t>
  </si>
  <si>
    <t>TSCEY2</t>
  </si>
  <si>
    <t>BC-091322-B2</t>
  </si>
  <si>
    <t>TSCEY3</t>
  </si>
  <si>
    <t>BC-091322-B7</t>
  </si>
  <si>
    <t>TSCEY4</t>
  </si>
  <si>
    <t>BC-082322-A5</t>
  </si>
  <si>
    <t>TSCEY5</t>
  </si>
  <si>
    <t>BC-091322-B8</t>
  </si>
  <si>
    <t>TSCEY6</t>
  </si>
  <si>
    <t>BC-091322-B9</t>
  </si>
  <si>
    <t>TSCEZ1</t>
  </si>
  <si>
    <t>BC-091322-B10</t>
  </si>
  <si>
    <t>TSCEZ2</t>
  </si>
  <si>
    <t>BC-091422-A6</t>
  </si>
  <si>
    <t>TSCEZ3</t>
  </si>
  <si>
    <t>BC-091422-A4</t>
  </si>
  <si>
    <t>TSCEZ4</t>
  </si>
  <si>
    <t>BC-091422-A5</t>
  </si>
  <si>
    <t>TSCEZ5</t>
  </si>
  <si>
    <t>BC-091422-A7</t>
  </si>
  <si>
    <t>TSCEZ6</t>
  </si>
  <si>
    <t>BC-091422-A3</t>
  </si>
  <si>
    <t>TSCIA1</t>
  </si>
  <si>
    <t>BC-082322-A6</t>
  </si>
  <si>
    <t>TSCIA2</t>
  </si>
  <si>
    <t>BC-091522-C1</t>
  </si>
  <si>
    <t>TSCIA3</t>
  </si>
  <si>
    <t>BC-082322-A1</t>
  </si>
  <si>
    <t>TSCIA4</t>
  </si>
  <si>
    <t>BC-092022-A4</t>
  </si>
  <si>
    <t>TSCIA5</t>
  </si>
  <si>
    <t>BC-090622-B1</t>
  </si>
  <si>
    <t>TSCIA6</t>
  </si>
  <si>
    <t>BC-090622-B2</t>
  </si>
  <si>
    <t>TSCIB1</t>
  </si>
  <si>
    <t>BC-082322-A3</t>
  </si>
  <si>
    <t>TSCIB2</t>
  </si>
  <si>
    <t>BC-090622-B3</t>
  </si>
  <si>
    <t>TSCIB3</t>
  </si>
  <si>
    <t>BC-090622-B4</t>
  </si>
  <si>
    <t>TSCIB4</t>
  </si>
  <si>
    <t>BC-092022-A5</t>
  </si>
  <si>
    <t>TSCIB5</t>
  </si>
  <si>
    <t>BC-092022-A6</t>
  </si>
  <si>
    <t>TSCIB6</t>
  </si>
  <si>
    <t>BC-092222-C1</t>
  </si>
  <si>
    <t>TSCIC1</t>
  </si>
  <si>
    <t>BC-092222-C2</t>
  </si>
  <si>
    <t>TSCIC2</t>
  </si>
  <si>
    <t>BC-092222-C3</t>
  </si>
  <si>
    <t>TSCIC3</t>
  </si>
  <si>
    <t>BC-092222-C4</t>
  </si>
  <si>
    <t>TSCIC4</t>
  </si>
  <si>
    <t>BC-092722-B1</t>
  </si>
  <si>
    <t>TSCIC5</t>
  </si>
  <si>
    <t>BC-092722-B2</t>
  </si>
  <si>
    <t>TSCIC6</t>
  </si>
  <si>
    <t>BC-092722-B4</t>
  </si>
  <si>
    <t>TSCID1</t>
  </si>
  <si>
    <t>BC-092722-B8</t>
  </si>
  <si>
    <t>TSCID2</t>
  </si>
  <si>
    <t>BC-092722-B9</t>
  </si>
  <si>
    <t>TSCID3</t>
  </si>
  <si>
    <t>BC-092722-B10</t>
  </si>
  <si>
    <t>TSCID4</t>
  </si>
  <si>
    <t>BC-092722-A1</t>
  </si>
  <si>
    <t>TSCID5</t>
  </si>
  <si>
    <t>BC-092722-A2</t>
  </si>
  <si>
    <t>TSCID6</t>
  </si>
  <si>
    <t>BC-092722-A3</t>
  </si>
  <si>
    <t>TSCIE1</t>
  </si>
  <si>
    <t>BC-092722-A5</t>
  </si>
  <si>
    <t>TSCIE2</t>
  </si>
  <si>
    <t>BC-092722-A6</t>
  </si>
  <si>
    <t>TSCIE3</t>
  </si>
  <si>
    <t>BC-092722-A7</t>
  </si>
  <si>
    <t>TSCIE4</t>
  </si>
  <si>
    <t>BC-092722-A8</t>
  </si>
  <si>
    <t>TSCIE5</t>
  </si>
  <si>
    <t>BC-092722-A9</t>
  </si>
  <si>
    <t>TSCIE6</t>
  </si>
  <si>
    <t>BC-090622-A3</t>
  </si>
  <si>
    <t>TSCIF1</t>
  </si>
  <si>
    <t>BC-090622-A2</t>
  </si>
  <si>
    <t>TSCIF2</t>
  </si>
  <si>
    <t>BC-090622-A1</t>
  </si>
  <si>
    <t>TSCIF3</t>
  </si>
  <si>
    <t>BC-090622-B7</t>
  </si>
  <si>
    <t>TSCGN3</t>
  </si>
  <si>
    <t>SC_09152020_021</t>
  </si>
  <si>
    <t>TSCGN5</t>
  </si>
  <si>
    <t>SC_09222020_009</t>
  </si>
  <si>
    <t>TSCGN4</t>
  </si>
  <si>
    <t>SC_09222020_022</t>
  </si>
  <si>
    <t>TSCGN6</t>
  </si>
  <si>
    <t>SC_09282020_011</t>
  </si>
  <si>
    <t>TSCGO1</t>
  </si>
  <si>
    <t>SC_09292020_052</t>
  </si>
  <si>
    <t>TSCGO2</t>
  </si>
  <si>
    <t>SC_09292020_056</t>
  </si>
  <si>
    <t>TSCGO3</t>
  </si>
  <si>
    <t>SC_10052020_061</t>
  </si>
  <si>
    <t>TSCGO5</t>
  </si>
  <si>
    <t>SC_10052020_085</t>
  </si>
  <si>
    <t>TSCGO4</t>
  </si>
  <si>
    <t>SC_10052020_087</t>
  </si>
  <si>
    <t>TSCGP1</t>
  </si>
  <si>
    <t>SC_10072020_119</t>
  </si>
  <si>
    <t>TSCGP2</t>
  </si>
  <si>
    <t>SC_10072020_151</t>
  </si>
  <si>
    <t>TSCGO6</t>
  </si>
  <si>
    <t>SC_10072020_175</t>
  </si>
  <si>
    <t>TSCGP3</t>
  </si>
  <si>
    <t>SC_10132020_191</t>
  </si>
  <si>
    <t>TSCGP4</t>
  </si>
  <si>
    <t>SC_10132020_278</t>
  </si>
  <si>
    <t>TSCGP5</t>
  </si>
  <si>
    <t>SC_10142020_260</t>
  </si>
  <si>
    <t>TSCGQ1</t>
  </si>
  <si>
    <t>SC_10142020_261</t>
  </si>
  <si>
    <t>TSCGQ2</t>
  </si>
  <si>
    <t>SC_10142020_265</t>
  </si>
  <si>
    <t>TSCGP6</t>
  </si>
  <si>
    <t>SC_10142020_266</t>
  </si>
  <si>
    <t>TSCGQ3</t>
  </si>
  <si>
    <t>SC_10142020_296</t>
  </si>
  <si>
    <t>TSCGQ4</t>
  </si>
  <si>
    <t>SC_10152020_018</t>
  </si>
  <si>
    <t>TSCGS6</t>
  </si>
  <si>
    <t>SC_10192020_347</t>
  </si>
  <si>
    <t>TSCGS5</t>
  </si>
  <si>
    <t>SC_10212020_334</t>
  </si>
  <si>
    <t>TSCGS4</t>
  </si>
  <si>
    <t>SC_10212020_368</t>
  </si>
  <si>
    <t>TSCGS3</t>
  </si>
  <si>
    <t>SC_10212020_383</t>
  </si>
  <si>
    <t>TSCGS1</t>
  </si>
  <si>
    <t>SC_10222020_293</t>
  </si>
  <si>
    <t>TSCGR6</t>
  </si>
  <si>
    <t>SC_10222020_360</t>
  </si>
  <si>
    <t>TSCGR5</t>
  </si>
  <si>
    <t>SC_10222020_363</t>
  </si>
  <si>
    <t>TSCGS2</t>
  </si>
  <si>
    <t>SC_10232020_287</t>
  </si>
  <si>
    <t>TSCGR4</t>
  </si>
  <si>
    <t>SC_10232020_308</t>
  </si>
  <si>
    <t>TSCGR3</t>
  </si>
  <si>
    <t>SC_10232020_316</t>
  </si>
  <si>
    <t>TSCGQ5</t>
  </si>
  <si>
    <t>SC_10232020_343</t>
  </si>
  <si>
    <t>TSCGQ6</t>
  </si>
  <si>
    <t>SC_10232020_379</t>
  </si>
  <si>
    <t>TSCGN1</t>
  </si>
  <si>
    <t>SC_10262020_012</t>
  </si>
  <si>
    <t>TSCGR1</t>
  </si>
  <si>
    <t>SC_10262020_029</t>
  </si>
  <si>
    <t>TSCGM6</t>
  </si>
  <si>
    <t>SC_10262020_034</t>
  </si>
  <si>
    <t>TSCGM5</t>
  </si>
  <si>
    <t>SC_10262020_044</t>
  </si>
  <si>
    <t>SC_10262020_082</t>
  </si>
  <si>
    <t>TSCGN2</t>
  </si>
  <si>
    <t>SC_10262020_092</t>
  </si>
  <si>
    <t>TSCGR2</t>
  </si>
  <si>
    <t>SC_10272020_127</t>
  </si>
  <si>
    <t>TSCGL4</t>
  </si>
  <si>
    <t>SC_10272020_179</t>
  </si>
  <si>
    <t>TSCGM3</t>
  </si>
  <si>
    <t>SC_10272020_186</t>
  </si>
  <si>
    <t>TSCGL5</t>
  </si>
  <si>
    <t>SC_10272020_230</t>
  </si>
  <si>
    <t>TSCGM2</t>
  </si>
  <si>
    <t>SC_10272020_346</t>
  </si>
  <si>
    <t>TSCGL6</t>
  </si>
  <si>
    <t>SC_10272020_349</t>
  </si>
  <si>
    <t>TSCGK3</t>
  </si>
  <si>
    <t>SC_10282020_188</t>
  </si>
  <si>
    <t>TSCGK2</t>
  </si>
  <si>
    <t>SC_10282020_301</t>
  </si>
  <si>
    <t>TSCGK5</t>
  </si>
  <si>
    <t>SC_10292020_135</t>
  </si>
  <si>
    <t>TSCGK6</t>
  </si>
  <si>
    <t>SC_10292020_439</t>
  </si>
  <si>
    <t>TSCGM4</t>
  </si>
  <si>
    <t>SC_10292020_441</t>
  </si>
  <si>
    <t>TSCGM1</t>
  </si>
  <si>
    <t>SC_11022020_421</t>
  </si>
  <si>
    <t>TSCGL3</t>
  </si>
  <si>
    <t>SC_11022020_425</t>
  </si>
  <si>
    <t>TSCGL2</t>
  </si>
  <si>
    <t>SC_11032020_445</t>
  </si>
  <si>
    <t>TSCGL1</t>
  </si>
  <si>
    <t>SC_11042020_409</t>
  </si>
  <si>
    <t>TSCGJ5</t>
  </si>
  <si>
    <t>SC_11042020_420</t>
  </si>
  <si>
    <t>TSCGK1</t>
  </si>
  <si>
    <t>SC_11052020_354</t>
  </si>
  <si>
    <t>TSCGK4</t>
  </si>
  <si>
    <t>SC_11052020_362</t>
  </si>
  <si>
    <t>TSCGJ4</t>
  </si>
  <si>
    <t>SC_11052020_466</t>
  </si>
  <si>
    <t>TSCGJ3</t>
  </si>
  <si>
    <t>SC_11092020_401</t>
  </si>
  <si>
    <t>TSCGJ2</t>
  </si>
  <si>
    <t>SC_11112020_511</t>
  </si>
  <si>
    <t>TSCGJ1</t>
  </si>
  <si>
    <t>SC_11112020_519</t>
  </si>
  <si>
    <t>TSCGH3</t>
  </si>
  <si>
    <t>SC_11122020_576</t>
  </si>
  <si>
    <t>TSCGH4</t>
  </si>
  <si>
    <t>SC_11162020_590</t>
  </si>
  <si>
    <t>TSCGH6</t>
  </si>
  <si>
    <t>SC_11172020_487</t>
  </si>
  <si>
    <t>TSCGH5</t>
  </si>
  <si>
    <t>SC_11172020_642</t>
  </si>
  <si>
    <t>TSCGT1</t>
  </si>
  <si>
    <t>TSCGT2</t>
  </si>
  <si>
    <t>SC_10262020_083</t>
  </si>
  <si>
    <t>TSCGT3</t>
  </si>
  <si>
    <t>SC_10192020_339</t>
  </si>
  <si>
    <t>TSCGT4</t>
  </si>
  <si>
    <t>SC_10192020_304</t>
  </si>
  <si>
    <t>TSCGT5</t>
  </si>
  <si>
    <t>SC_10202020_232</t>
  </si>
  <si>
    <t>TSCGT6</t>
  </si>
  <si>
    <t>SC_10202020_239</t>
  </si>
  <si>
    <t>TSCGU1</t>
  </si>
  <si>
    <t>SC_10152020_007</t>
  </si>
  <si>
    <t>TSCGU2</t>
  </si>
  <si>
    <t>SC_10152020_243</t>
  </si>
  <si>
    <t>TSCGU3</t>
  </si>
  <si>
    <t>SC_10212020_038</t>
  </si>
  <si>
    <t>TSCGU4</t>
  </si>
  <si>
    <t>SC_10212020_030</t>
  </si>
  <si>
    <t>TSCGU5</t>
  </si>
  <si>
    <t>SC_10212020_041</t>
  </si>
  <si>
    <t>TSCIG1</t>
  </si>
  <si>
    <t>TSCIG4</t>
  </si>
  <si>
    <t>not confident</t>
  </si>
  <si>
    <t>no oto</t>
  </si>
  <si>
    <t>hard to read</t>
  </si>
  <si>
    <t>cannot read</t>
  </si>
  <si>
    <t>no read</t>
  </si>
  <si>
    <t>no oto (looks like it peeled off?)</t>
  </si>
  <si>
    <t>overpolished?</t>
  </si>
  <si>
    <t>overpolished</t>
  </si>
  <si>
    <t>cannot read, needs to be ground down</t>
  </si>
  <si>
    <t>not ground down enough</t>
  </si>
  <si>
    <t>needs to be ground down more</t>
  </si>
  <si>
    <t>remineralized</t>
  </si>
  <si>
    <t>not present</t>
  </si>
  <si>
    <t>KE</t>
  </si>
  <si>
    <t>GW</t>
  </si>
  <si>
    <t>agree?</t>
  </si>
  <si>
    <t>agreed:</t>
  </si>
  <si>
    <t>total read:</t>
  </si>
  <si>
    <t>Agree %:</t>
  </si>
  <si>
    <t>Excluding not confident:</t>
  </si>
  <si>
    <t>minus…</t>
  </si>
  <si>
    <t>Statistics:</t>
  </si>
  <si>
    <t>DEE-MIL</t>
  </si>
  <si>
    <t>CNH</t>
  </si>
  <si>
    <t>BAT</t>
  </si>
  <si>
    <t>SAC</t>
  </si>
  <si>
    <t>FEA</t>
  </si>
  <si>
    <t>BUT</t>
  </si>
  <si>
    <t>UnA</t>
  </si>
  <si>
    <t>FRH-THE</t>
  </si>
  <si>
    <t>MOH</t>
  </si>
  <si>
    <t>MOK</t>
  </si>
  <si>
    <t>SC_13_50020E_2</t>
  </si>
  <si>
    <t>SC_13_50021E_2</t>
  </si>
  <si>
    <t>NIH</t>
  </si>
  <si>
    <t>year</t>
  </si>
  <si>
    <t>natal_assignment</t>
  </si>
  <si>
    <t>natal</t>
  </si>
  <si>
    <t>ke_gw_age</t>
  </si>
  <si>
    <t>ke_age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</si>
</sst>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3" borderId="0" xfId="0" applyFill="1"/>
    <xf numFmtId="0" fontId="0" fillId="3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E7F114-B29D-4A2A-AA5F-472EA8DDE252}" name="sr" displayName="sr" ref="A1:C1048576" totalsRowShown="0">
  <autoFilter ref="A1:C1048576" xr:uid="{00E7F114-B29D-4A2A-AA5F-472EA8DDE252}"/>
  <tableColumns count="3">
    <tableColumn id="1" xr3:uid="{B64AFBA6-32E1-42A5-B939-6D8FAB0A2365}" name="lab_id"/>
    <tableColumn id="2" xr3:uid="{A683B0CA-C9A5-4303-9859-A0413964D5E4}" name="year"/>
    <tableColumn id="3" xr3:uid="{17EF566D-0209-496B-B54C-6575FDBC7059}" name="natal_assign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0507E8-CEEB-4472-B8EF-2D44E36F8DC9}" name="lookup" displayName="lookup" ref="A1:B1048575" totalsRowShown="0">
  <autoFilter ref="A1:B1048575" xr:uid="{8D0507E8-CEEB-4472-B8EF-2D44E36F8DC9}"/>
  <tableColumns count="2">
    <tableColumn id="1" xr3:uid="{9003163D-55F8-40CA-8A18-6E6B22623F1A}" name="petro_no"/>
    <tableColumn id="2" xr3:uid="{5EA21FC2-70C5-4487-999E-6F23B895371D}" name="lab_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B229-37C0-4F84-9C9A-B5B1C6428328}">
  <dimension ref="A1:D303"/>
  <sheetViews>
    <sheetView workbookViewId="0">
      <selection activeCell="F24" sqref="F24"/>
    </sheetView>
  </sheetViews>
  <sheetFormatPr defaultRowHeight="14.4" x14ac:dyDescent="0.3"/>
  <cols>
    <col min="1" max="1" width="12.6640625" bestFit="1" customWidth="1"/>
    <col min="4" max="4" width="31.6640625" bestFit="1" customWidth="1"/>
  </cols>
  <sheetData>
    <row r="1" spans="1:4" x14ac:dyDescent="0.3">
      <c r="A1" t="s">
        <v>6</v>
      </c>
      <c r="B1" t="s">
        <v>7</v>
      </c>
      <c r="C1" t="s">
        <v>8</v>
      </c>
      <c r="D1" t="s">
        <v>9</v>
      </c>
    </row>
    <row r="2" spans="1:4" x14ac:dyDescent="0.3">
      <c r="A2" t="str">
        <f>VLOOKUP(B2,lookup[],2,FALSE)</f>
        <v>SC_06_50035E</v>
      </c>
      <c r="B2" t="s">
        <v>0</v>
      </c>
      <c r="C2">
        <v>3</v>
      </c>
    </row>
    <row r="3" spans="1:4" x14ac:dyDescent="0.3">
      <c r="A3" t="str">
        <f>VLOOKUP(B3,lookup[],2,FALSE)</f>
        <v>SC_06_50036E</v>
      </c>
      <c r="B3" t="s">
        <v>1</v>
      </c>
      <c r="C3">
        <v>4</v>
      </c>
    </row>
    <row r="4" spans="1:4" x14ac:dyDescent="0.3">
      <c r="A4" t="str">
        <f>VLOOKUP(B4,lookup[],2,FALSE)</f>
        <v>SC_06_50037E</v>
      </c>
      <c r="B4" t="s">
        <v>2</v>
      </c>
      <c r="C4">
        <v>2</v>
      </c>
      <c r="D4" t="s">
        <v>10</v>
      </c>
    </row>
    <row r="5" spans="1:4" x14ac:dyDescent="0.3">
      <c r="A5" t="str">
        <f>VLOOKUP(B5,lookup[],2,FALSE)</f>
        <v>SC_06_50040E</v>
      </c>
      <c r="B5" t="s">
        <v>3</v>
      </c>
      <c r="C5">
        <v>2</v>
      </c>
    </row>
    <row r="6" spans="1:4" x14ac:dyDescent="0.3">
      <c r="A6" t="str">
        <f>VLOOKUP(B6,lookup[],2,FALSE)</f>
        <v>SC_06_50042E</v>
      </c>
      <c r="B6" t="s">
        <v>4</v>
      </c>
      <c r="C6">
        <v>3</v>
      </c>
    </row>
    <row r="7" spans="1:4" x14ac:dyDescent="0.3">
      <c r="A7" t="str">
        <f>VLOOKUP(B7,lookup[],2,FALSE)</f>
        <v>SC_06_50044E</v>
      </c>
      <c r="B7" t="s">
        <v>5</v>
      </c>
      <c r="C7">
        <v>3</v>
      </c>
    </row>
    <row r="8" spans="1:4" x14ac:dyDescent="0.3">
      <c r="A8" t="str">
        <f>VLOOKUP(B8,lookup[],2,FALSE)</f>
        <v>SC_06_50045E</v>
      </c>
      <c r="B8" t="s">
        <v>11</v>
      </c>
      <c r="D8" t="s">
        <v>17</v>
      </c>
    </row>
    <row r="9" spans="1:4" x14ac:dyDescent="0.3">
      <c r="A9" t="str">
        <f>VLOOKUP(B9,lookup[],2,FALSE)</f>
        <v>SC_06_50046E</v>
      </c>
      <c r="B9" t="s">
        <v>12</v>
      </c>
      <c r="C9">
        <v>4</v>
      </c>
    </row>
    <row r="10" spans="1:4" x14ac:dyDescent="0.3">
      <c r="A10" t="str">
        <f>VLOOKUP(B10,lookup[],2,FALSE)</f>
        <v>SC_06_50047E</v>
      </c>
      <c r="B10" t="s">
        <v>13</v>
      </c>
      <c r="C10">
        <v>4</v>
      </c>
    </row>
    <row r="11" spans="1:4" x14ac:dyDescent="0.3">
      <c r="A11" t="str">
        <f>VLOOKUP(B11,lookup[],2,FALSE)</f>
        <v>SC_06_50048E</v>
      </c>
      <c r="B11" t="s">
        <v>14</v>
      </c>
      <c r="C11">
        <v>3</v>
      </c>
    </row>
    <row r="12" spans="1:4" x14ac:dyDescent="0.3">
      <c r="A12" t="str">
        <f>VLOOKUP(B12,lookup[],2,FALSE)</f>
        <v>SC_06_50051E</v>
      </c>
      <c r="B12" t="s">
        <v>15</v>
      </c>
      <c r="C12">
        <v>3</v>
      </c>
    </row>
    <row r="13" spans="1:4" x14ac:dyDescent="0.3">
      <c r="A13" t="str">
        <f>VLOOKUP(B13,lookup[],2,FALSE)</f>
        <v>SC_06_50052E</v>
      </c>
      <c r="B13" t="s">
        <v>16</v>
      </c>
      <c r="C13">
        <v>3</v>
      </c>
    </row>
    <row r="14" spans="1:4" x14ac:dyDescent="0.3">
      <c r="A14" t="str">
        <f>VLOOKUP(B14,lookup[],2,FALSE)</f>
        <v>SC_06_50053E</v>
      </c>
      <c r="B14" t="s">
        <v>78</v>
      </c>
      <c r="C14">
        <v>3</v>
      </c>
    </row>
    <row r="15" spans="1:4" x14ac:dyDescent="0.3">
      <c r="A15" t="str">
        <f>VLOOKUP(B15,lookup[],2,FALSE)</f>
        <v>SC_06_50054E</v>
      </c>
      <c r="B15" t="s">
        <v>80</v>
      </c>
      <c r="C15">
        <v>2</v>
      </c>
      <c r="D15" t="s">
        <v>2558</v>
      </c>
    </row>
    <row r="16" spans="1:4" x14ac:dyDescent="0.3">
      <c r="A16" t="str">
        <f>VLOOKUP(B16,lookup[],2,FALSE)</f>
        <v>SC_06_50100E</v>
      </c>
      <c r="B16" t="s">
        <v>82</v>
      </c>
      <c r="C16">
        <v>3</v>
      </c>
    </row>
    <row r="17" spans="1:4" x14ac:dyDescent="0.3">
      <c r="A17" t="str">
        <f>VLOOKUP(B17,lookup[],2,FALSE)</f>
        <v>SC_06_50101E</v>
      </c>
      <c r="B17" t="s">
        <v>84</v>
      </c>
      <c r="C17">
        <v>3</v>
      </c>
    </row>
    <row r="18" spans="1:4" x14ac:dyDescent="0.3">
      <c r="A18" t="str">
        <f>VLOOKUP(B18,lookup[],2,FALSE)</f>
        <v>SC_06_50102E</v>
      </c>
      <c r="B18" t="s">
        <v>86</v>
      </c>
      <c r="C18">
        <v>4</v>
      </c>
    </row>
    <row r="19" spans="1:4" x14ac:dyDescent="0.3">
      <c r="A19" t="str">
        <f>VLOOKUP(B19,lookup[],2,FALSE)</f>
        <v>SC_06_50103E</v>
      </c>
      <c r="B19" t="s">
        <v>88</v>
      </c>
      <c r="C19">
        <v>3</v>
      </c>
    </row>
    <row r="20" spans="1:4" x14ac:dyDescent="0.3">
      <c r="A20" t="str">
        <f>VLOOKUP(B20,lookup[],2,FALSE)</f>
        <v>SC_07_50003E</v>
      </c>
      <c r="B20" t="s">
        <v>90</v>
      </c>
      <c r="D20" t="s">
        <v>2559</v>
      </c>
    </row>
    <row r="21" spans="1:4" x14ac:dyDescent="0.3">
      <c r="A21" t="str">
        <f>VLOOKUP(B21,lookup[],2,FALSE)</f>
        <v>SC_07_50005E</v>
      </c>
      <c r="B21" t="s">
        <v>92</v>
      </c>
      <c r="C21">
        <v>3</v>
      </c>
      <c r="D21" t="s">
        <v>2558</v>
      </c>
    </row>
    <row r="22" spans="1:4" x14ac:dyDescent="0.3">
      <c r="A22" t="str">
        <f>VLOOKUP(B22,lookup[],2,FALSE)</f>
        <v>SC_07_50006E</v>
      </c>
      <c r="B22" t="s">
        <v>94</v>
      </c>
      <c r="C22">
        <v>2</v>
      </c>
    </row>
    <row r="23" spans="1:4" x14ac:dyDescent="0.3">
      <c r="A23" t="str">
        <f>VLOOKUP(B23,lookup[],2,FALSE)</f>
        <v>SC_07_50007E</v>
      </c>
      <c r="B23" t="s">
        <v>96</v>
      </c>
      <c r="C23">
        <v>3</v>
      </c>
    </row>
    <row r="24" spans="1:4" x14ac:dyDescent="0.3">
      <c r="A24" t="str">
        <f>VLOOKUP(B24,lookup[],2,FALSE)</f>
        <v>SC_07_50009E</v>
      </c>
      <c r="B24" t="s">
        <v>98</v>
      </c>
      <c r="C24">
        <v>4</v>
      </c>
    </row>
    <row r="25" spans="1:4" x14ac:dyDescent="0.3">
      <c r="A25" t="str">
        <f>VLOOKUP(B25,lookup[],2,FALSE)</f>
        <v>SC_07_50010E</v>
      </c>
      <c r="B25" t="s">
        <v>100</v>
      </c>
      <c r="D25" t="s">
        <v>2559</v>
      </c>
    </row>
    <row r="26" spans="1:4" x14ac:dyDescent="0.3">
      <c r="A26" t="str">
        <f>VLOOKUP(B26,lookup[],2,FALSE)</f>
        <v>SC_07_50015E</v>
      </c>
      <c r="B26" t="s">
        <v>102</v>
      </c>
      <c r="C26">
        <v>3</v>
      </c>
    </row>
    <row r="27" spans="1:4" x14ac:dyDescent="0.3">
      <c r="A27" t="str">
        <f>VLOOKUP(B27,lookup[],2,FALSE)</f>
        <v>SC_07_50016E</v>
      </c>
      <c r="B27" t="s">
        <v>104</v>
      </c>
      <c r="C27">
        <v>3</v>
      </c>
    </row>
    <row r="28" spans="1:4" x14ac:dyDescent="0.3">
      <c r="A28" t="str">
        <f>VLOOKUP(B28,lookup[],2,FALSE)</f>
        <v>SC_07_50017E</v>
      </c>
      <c r="B28" t="s">
        <v>106</v>
      </c>
      <c r="C28">
        <v>3</v>
      </c>
    </row>
    <row r="29" spans="1:4" x14ac:dyDescent="0.3">
      <c r="A29" t="str">
        <f>VLOOKUP(B29,lookup[],2,FALSE)</f>
        <v>SC_07_50018E</v>
      </c>
      <c r="B29" t="s">
        <v>108</v>
      </c>
      <c r="C29">
        <v>3</v>
      </c>
      <c r="D29" t="s">
        <v>2558</v>
      </c>
    </row>
    <row r="30" spans="1:4" x14ac:dyDescent="0.3">
      <c r="A30" t="str">
        <f>VLOOKUP(B30,lookup[],2,FALSE)</f>
        <v>SC_07_50019E</v>
      </c>
      <c r="B30" t="s">
        <v>110</v>
      </c>
      <c r="C30">
        <v>2</v>
      </c>
      <c r="D30" t="s">
        <v>2558</v>
      </c>
    </row>
    <row r="31" spans="1:4" x14ac:dyDescent="0.3">
      <c r="A31" t="str">
        <f>VLOOKUP(B31,lookup[],2,FALSE)</f>
        <v>SC_07_50020E</v>
      </c>
      <c r="B31" t="s">
        <v>112</v>
      </c>
      <c r="D31" t="s">
        <v>17</v>
      </c>
    </row>
    <row r="32" spans="1:4" x14ac:dyDescent="0.3">
      <c r="A32" t="str">
        <f>VLOOKUP(B32,lookup[],2,FALSE)</f>
        <v>SC_07_50021E</v>
      </c>
      <c r="B32" t="s">
        <v>114</v>
      </c>
      <c r="C32">
        <v>2</v>
      </c>
    </row>
    <row r="33" spans="1:4" x14ac:dyDescent="0.3">
      <c r="A33" t="str">
        <f>VLOOKUP(B33,lookup[],2,FALSE)</f>
        <v>SC_07_50022E</v>
      </c>
      <c r="B33" t="s">
        <v>116</v>
      </c>
      <c r="D33" t="s">
        <v>2560</v>
      </c>
    </row>
    <row r="34" spans="1:4" x14ac:dyDescent="0.3">
      <c r="A34" t="str">
        <f>VLOOKUP(B34,lookup[],2,FALSE)</f>
        <v>SC_07_50024E</v>
      </c>
      <c r="B34" t="s">
        <v>118</v>
      </c>
      <c r="C34">
        <v>4</v>
      </c>
    </row>
    <row r="35" spans="1:4" x14ac:dyDescent="0.3">
      <c r="A35" t="str">
        <f>VLOOKUP(B35,lookup[],2,FALSE)</f>
        <v>SC_07_50025E</v>
      </c>
      <c r="B35" t="s">
        <v>120</v>
      </c>
      <c r="C35">
        <v>3</v>
      </c>
    </row>
    <row r="36" spans="1:4" x14ac:dyDescent="0.3">
      <c r="A36" t="str">
        <f>VLOOKUP(B36,lookup[],2,FALSE)</f>
        <v>SC_07_50026E</v>
      </c>
      <c r="B36" t="s">
        <v>122</v>
      </c>
      <c r="C36">
        <v>4</v>
      </c>
    </row>
    <row r="37" spans="1:4" x14ac:dyDescent="0.3">
      <c r="A37" t="str">
        <f>VLOOKUP(B37,lookup[],2,FALSE)</f>
        <v>SC_07_50027E</v>
      </c>
      <c r="B37" t="s">
        <v>124</v>
      </c>
      <c r="D37" t="s">
        <v>2559</v>
      </c>
    </row>
    <row r="38" spans="1:4" x14ac:dyDescent="0.3">
      <c r="A38" t="str">
        <f>VLOOKUP(B38,lookup[],2,FALSE)</f>
        <v>SC_07_50028E</v>
      </c>
      <c r="B38" t="s">
        <v>126</v>
      </c>
      <c r="C38">
        <v>4</v>
      </c>
    </row>
    <row r="39" spans="1:4" x14ac:dyDescent="0.3">
      <c r="A39" t="str">
        <f>VLOOKUP(B39,lookup[],2,FALSE)</f>
        <v>SC_07_50031E</v>
      </c>
      <c r="B39" t="s">
        <v>128</v>
      </c>
      <c r="C39">
        <v>3</v>
      </c>
    </row>
    <row r="40" spans="1:4" x14ac:dyDescent="0.3">
      <c r="A40" t="str">
        <f>VLOOKUP(B40,lookup[],2,FALSE)</f>
        <v>SC_07_50032E</v>
      </c>
      <c r="B40" t="s">
        <v>130</v>
      </c>
      <c r="C40">
        <v>3</v>
      </c>
    </row>
    <row r="41" spans="1:4" x14ac:dyDescent="0.3">
      <c r="A41" t="str">
        <f>VLOOKUP(B41,lookup[],2,FALSE)</f>
        <v>SC_07_50033E</v>
      </c>
      <c r="B41" t="s">
        <v>132</v>
      </c>
    </row>
    <row r="42" spans="1:4" x14ac:dyDescent="0.3">
      <c r="A42" t="str">
        <f>VLOOKUP(B42,lookup[],2,FALSE)</f>
        <v>SC_07_50034E</v>
      </c>
      <c r="B42" t="s">
        <v>134</v>
      </c>
      <c r="C42">
        <v>2</v>
      </c>
    </row>
    <row r="43" spans="1:4" x14ac:dyDescent="0.3">
      <c r="A43" t="str">
        <f>VLOOKUP(B43,lookup[],2,FALSE)</f>
        <v>SC_07_50040E</v>
      </c>
      <c r="B43" t="s">
        <v>136</v>
      </c>
      <c r="C43">
        <v>3</v>
      </c>
      <c r="D43" t="s">
        <v>2560</v>
      </c>
    </row>
    <row r="44" spans="1:4" x14ac:dyDescent="0.3">
      <c r="A44" t="str">
        <f>VLOOKUP(B44,lookup[],2,FALSE)</f>
        <v>SC_07_50041E</v>
      </c>
      <c r="B44" t="s">
        <v>138</v>
      </c>
      <c r="C44">
        <v>3</v>
      </c>
    </row>
    <row r="45" spans="1:4" x14ac:dyDescent="0.3">
      <c r="A45" t="str">
        <f>VLOOKUP(B45,lookup[],2,FALSE)</f>
        <v>SC_07_50042E</v>
      </c>
      <c r="B45" t="s">
        <v>140</v>
      </c>
      <c r="C45">
        <v>2</v>
      </c>
    </row>
    <row r="46" spans="1:4" x14ac:dyDescent="0.3">
      <c r="A46" t="str">
        <f>VLOOKUP(B46,lookup[],2,FALSE)</f>
        <v>SC_07_50043E</v>
      </c>
      <c r="B46" t="s">
        <v>142</v>
      </c>
      <c r="C46">
        <v>2</v>
      </c>
    </row>
    <row r="47" spans="1:4" x14ac:dyDescent="0.3">
      <c r="A47" t="str">
        <f>VLOOKUP(B47,lookup[],2,FALSE)</f>
        <v>SC_07_50044E</v>
      </c>
      <c r="B47" t="s">
        <v>144</v>
      </c>
      <c r="C47">
        <v>3</v>
      </c>
    </row>
    <row r="48" spans="1:4" x14ac:dyDescent="0.3">
      <c r="A48" t="str">
        <f>VLOOKUP(B48,lookup[],2,FALSE)</f>
        <v>SC_07_50046E</v>
      </c>
      <c r="B48" t="s">
        <v>146</v>
      </c>
      <c r="D48" t="s">
        <v>2561</v>
      </c>
    </row>
    <row r="49" spans="1:4" x14ac:dyDescent="0.3">
      <c r="A49" t="str">
        <f>VLOOKUP(B49,lookup[],2,FALSE)</f>
        <v>SC_07_50047E</v>
      </c>
      <c r="B49" t="s">
        <v>148</v>
      </c>
      <c r="C49">
        <v>3</v>
      </c>
      <c r="D49" t="s">
        <v>2558</v>
      </c>
    </row>
    <row r="50" spans="1:4" x14ac:dyDescent="0.3">
      <c r="A50" t="str">
        <f>VLOOKUP(B50,lookup[],2,FALSE)</f>
        <v>SC_07_50048E</v>
      </c>
      <c r="B50" t="s">
        <v>150</v>
      </c>
      <c r="C50">
        <v>2</v>
      </c>
    </row>
    <row r="51" spans="1:4" x14ac:dyDescent="0.3">
      <c r="A51" t="str">
        <f>VLOOKUP(B51,lookup[],2,FALSE)</f>
        <v>SC_07_50049E</v>
      </c>
      <c r="B51" t="s">
        <v>152</v>
      </c>
      <c r="C51">
        <v>3</v>
      </c>
    </row>
    <row r="52" spans="1:4" x14ac:dyDescent="0.3">
      <c r="A52" t="str">
        <f>VLOOKUP(B52,lookup[],2,FALSE)</f>
        <v>SC_07_50050E</v>
      </c>
      <c r="B52" t="s">
        <v>154</v>
      </c>
      <c r="D52" t="s">
        <v>2561</v>
      </c>
    </row>
    <row r="53" spans="1:4" x14ac:dyDescent="0.3">
      <c r="A53" t="str">
        <f>VLOOKUP(B53,lookup[],2,FALSE)</f>
        <v>SC_07_50054E</v>
      </c>
      <c r="B53" t="s">
        <v>156</v>
      </c>
      <c r="C53">
        <v>4</v>
      </c>
    </row>
    <row r="54" spans="1:4" x14ac:dyDescent="0.3">
      <c r="A54" t="str">
        <f>VLOOKUP(B54,lookup[],2,FALSE)</f>
        <v>BC-809022-B2</v>
      </c>
      <c r="B54" t="s">
        <v>2230</v>
      </c>
      <c r="C54">
        <v>3</v>
      </c>
    </row>
    <row r="55" spans="1:4" x14ac:dyDescent="0.3">
      <c r="A55" t="str">
        <f>VLOOKUP(B55,lookup[],2,FALSE)</f>
        <v>BC-809022-B1</v>
      </c>
      <c r="B55" t="s">
        <v>2232</v>
      </c>
      <c r="C55">
        <v>3</v>
      </c>
    </row>
    <row r="56" spans="1:4" x14ac:dyDescent="0.3">
      <c r="A56" t="str">
        <f>VLOOKUP(B56,lookup[],2,FALSE)</f>
        <v>SC_11_50004E</v>
      </c>
      <c r="B56" t="s">
        <v>694</v>
      </c>
      <c r="D56" t="s">
        <v>2562</v>
      </c>
    </row>
    <row r="57" spans="1:4" x14ac:dyDescent="0.3">
      <c r="A57" t="str">
        <f>VLOOKUP(B57,lookup[],2,FALSE)</f>
        <v>SC_07_50057E</v>
      </c>
      <c r="B57" t="s">
        <v>162</v>
      </c>
      <c r="C57">
        <v>3</v>
      </c>
    </row>
    <row r="58" spans="1:4" x14ac:dyDescent="0.3">
      <c r="A58" t="str">
        <f>VLOOKUP(B58,lookup[],2,FALSE)</f>
        <v>SC_08_50007E</v>
      </c>
      <c r="B58" t="s">
        <v>170</v>
      </c>
      <c r="C58">
        <v>4</v>
      </c>
    </row>
    <row r="59" spans="1:4" x14ac:dyDescent="0.3">
      <c r="A59" t="str">
        <f>VLOOKUP(B59,lookup[],2,FALSE)</f>
        <v>SC_09_50004E</v>
      </c>
      <c r="B59" t="s">
        <v>180</v>
      </c>
      <c r="C59">
        <v>2</v>
      </c>
    </row>
    <row r="60" spans="1:4" x14ac:dyDescent="0.3">
      <c r="A60" t="str">
        <f>VLOOKUP(B60,lookup[],2,FALSE)</f>
        <v>SC_09_50015E</v>
      </c>
      <c r="B60" t="s">
        <v>200</v>
      </c>
      <c r="C60">
        <v>3</v>
      </c>
    </row>
    <row r="61" spans="1:4" x14ac:dyDescent="0.3">
      <c r="A61" t="str">
        <f>VLOOKUP(B61,lookup[],2,FALSE)</f>
        <v>SC_10_50002E</v>
      </c>
      <c r="B61" t="s">
        <v>270</v>
      </c>
      <c r="D61" t="s">
        <v>17</v>
      </c>
    </row>
    <row r="62" spans="1:4" x14ac:dyDescent="0.3">
      <c r="A62" t="str">
        <f>VLOOKUP(B62,lookup[],2,FALSE)</f>
        <v>SC_10_50012E</v>
      </c>
      <c r="B62" t="s">
        <v>290</v>
      </c>
      <c r="C62">
        <v>3</v>
      </c>
    </row>
    <row r="63" spans="1:4" x14ac:dyDescent="0.3">
      <c r="A63" t="str">
        <f>VLOOKUP(B63,lookup[],2,FALSE)</f>
        <v>SC_10_50058E</v>
      </c>
      <c r="B63" t="s">
        <v>306</v>
      </c>
      <c r="C63">
        <v>4</v>
      </c>
    </row>
    <row r="64" spans="1:4" x14ac:dyDescent="0.3">
      <c r="A64" t="str">
        <f>VLOOKUP(B64,lookup[],2,FALSE)</f>
        <v>SC_07_50056E</v>
      </c>
      <c r="B64" t="s">
        <v>160</v>
      </c>
      <c r="D64" t="s">
        <v>2561</v>
      </c>
    </row>
    <row r="65" spans="1:4" x14ac:dyDescent="0.3">
      <c r="A65" t="str">
        <f>VLOOKUP(B65,lookup[],2,FALSE)</f>
        <v>SC_08_50006E</v>
      </c>
      <c r="B65" t="s">
        <v>168</v>
      </c>
      <c r="C65">
        <v>2</v>
      </c>
    </row>
    <row r="66" spans="1:4" x14ac:dyDescent="0.3">
      <c r="A66" t="str">
        <f>VLOOKUP(B66,lookup[],2,FALSE)</f>
        <v>SC_09_50003E</v>
      </c>
      <c r="B66" t="s">
        <v>178</v>
      </c>
      <c r="C66">
        <v>3</v>
      </c>
    </row>
    <row r="67" spans="1:4" x14ac:dyDescent="0.3">
      <c r="A67" t="str">
        <f>VLOOKUP(B67,lookup[],2,FALSE)</f>
        <v>SC_09_50014E</v>
      </c>
      <c r="B67" t="s">
        <v>198</v>
      </c>
      <c r="C67">
        <v>2</v>
      </c>
      <c r="D67" t="s">
        <v>2560</v>
      </c>
    </row>
    <row r="68" spans="1:4" x14ac:dyDescent="0.3">
      <c r="A68" t="str">
        <f>VLOOKUP(B68,lookup[],2,FALSE)</f>
        <v>SC_10_50000E</v>
      </c>
      <c r="B68" t="s">
        <v>268</v>
      </c>
      <c r="D68" t="s">
        <v>17</v>
      </c>
    </row>
    <row r="69" spans="1:4" x14ac:dyDescent="0.3">
      <c r="A69" t="str">
        <f>VLOOKUP(B69,lookup[],2,FALSE)</f>
        <v>SC_10_50057E</v>
      </c>
      <c r="B69" t="s">
        <v>304</v>
      </c>
      <c r="D69" t="s">
        <v>2563</v>
      </c>
    </row>
    <row r="70" spans="1:4" x14ac:dyDescent="0.3">
      <c r="A70" t="str">
        <f>VLOOKUP(B70,lookup[],2,FALSE)</f>
        <v>SC_10_50071E</v>
      </c>
      <c r="B70" t="s">
        <v>324</v>
      </c>
      <c r="C70">
        <v>4</v>
      </c>
    </row>
    <row r="71" spans="1:4" x14ac:dyDescent="0.3">
      <c r="A71" t="str">
        <f>VLOOKUP(B71,lookup[],2,FALSE)</f>
        <v>SC_11_50000E</v>
      </c>
      <c r="B71" t="s">
        <v>690</v>
      </c>
      <c r="C71">
        <v>3</v>
      </c>
    </row>
    <row r="72" spans="1:4" x14ac:dyDescent="0.3">
      <c r="A72" t="str">
        <f>VLOOKUP(B72,lookup[],2,FALSE)</f>
        <v>SC_11_50019E</v>
      </c>
      <c r="B72" t="s">
        <v>710</v>
      </c>
      <c r="C72">
        <v>3</v>
      </c>
    </row>
    <row r="73" spans="1:4" x14ac:dyDescent="0.3">
      <c r="A73" t="str">
        <f>VLOOKUP(B73,lookup[],2,FALSE)</f>
        <v>SC_07_50055E</v>
      </c>
      <c r="B73" t="s">
        <v>158</v>
      </c>
      <c r="D73" t="s">
        <v>2561</v>
      </c>
    </row>
    <row r="74" spans="1:4" x14ac:dyDescent="0.3">
      <c r="A74" t="str">
        <f>VLOOKUP(B74,lookup[],2,FALSE)</f>
        <v>SC_08_50005E</v>
      </c>
      <c r="B74" t="s">
        <v>166</v>
      </c>
      <c r="D74" t="s">
        <v>2562</v>
      </c>
    </row>
    <row r="75" spans="1:4" x14ac:dyDescent="0.3">
      <c r="A75" t="str">
        <f>VLOOKUP(B75,lookup[],2,FALSE)</f>
        <v>SC_09_50001E</v>
      </c>
      <c r="B75" t="s">
        <v>176</v>
      </c>
      <c r="C75">
        <v>3</v>
      </c>
    </row>
    <row r="76" spans="1:4" x14ac:dyDescent="0.3">
      <c r="A76" t="str">
        <f>VLOOKUP(B76,lookup[],2,FALSE)</f>
        <v>SC_09_50013E</v>
      </c>
      <c r="B76" t="s">
        <v>196</v>
      </c>
      <c r="C76">
        <v>3</v>
      </c>
    </row>
    <row r="77" spans="1:4" x14ac:dyDescent="0.3">
      <c r="A77" t="str">
        <f>VLOOKUP(B77,lookup[],2,FALSE)</f>
        <v>SC_10_50010E</v>
      </c>
      <c r="B77" t="s">
        <v>286</v>
      </c>
      <c r="C77">
        <v>3</v>
      </c>
    </row>
    <row r="78" spans="1:4" x14ac:dyDescent="0.3">
      <c r="A78" t="str">
        <f>VLOOKUP(B78,lookup[],2,FALSE)</f>
        <v>SC_10_50069E</v>
      </c>
      <c r="B78" t="s">
        <v>322</v>
      </c>
      <c r="D78" t="s">
        <v>2561</v>
      </c>
    </row>
    <row r="79" spans="1:4" x14ac:dyDescent="0.3">
      <c r="A79" t="str">
        <f>VLOOKUP(B79,lookup[],2,FALSE)</f>
        <v>SC_11_50018E</v>
      </c>
      <c r="B79" t="s">
        <v>708</v>
      </c>
      <c r="D79" t="s">
        <v>17</v>
      </c>
    </row>
    <row r="80" spans="1:4" x14ac:dyDescent="0.3">
      <c r="A80" t="str">
        <f>VLOOKUP(B80,lookup[],2,FALSE)</f>
        <v>SC_11_50003E</v>
      </c>
      <c r="B80" t="s">
        <v>692</v>
      </c>
      <c r="C80">
        <v>3</v>
      </c>
    </row>
    <row r="81" spans="1:4" x14ac:dyDescent="0.3">
      <c r="A81" t="str">
        <f>VLOOKUP(B81,lookup[],2,FALSE)</f>
        <v>SC_10_50011E</v>
      </c>
      <c r="B81" t="s">
        <v>288</v>
      </c>
      <c r="D81" t="s">
        <v>2562</v>
      </c>
    </row>
    <row r="82" spans="1:4" x14ac:dyDescent="0.3">
      <c r="A82" t="str">
        <f>VLOOKUP(B82,lookup[],2,FALSE)</f>
        <v>SC_CA_BUT_4190_2865_01</v>
      </c>
      <c r="B82" t="s">
        <v>1800</v>
      </c>
      <c r="C82">
        <v>3</v>
      </c>
      <c r="D82" t="s">
        <v>2558</v>
      </c>
    </row>
    <row r="83" spans="1:4" x14ac:dyDescent="0.3">
      <c r="A83" t="str">
        <f>VLOOKUP(B83,lookup[],2,FALSE)</f>
        <v>SC_CA_BUT_4185_1626_01</v>
      </c>
      <c r="B83" t="s">
        <v>1694</v>
      </c>
      <c r="C83">
        <v>4</v>
      </c>
    </row>
    <row r="84" spans="1:4" x14ac:dyDescent="0.3">
      <c r="A84" t="str">
        <f>VLOOKUP(B84,lookup[],2,FALSE)</f>
        <v>SC_11292018_299</v>
      </c>
      <c r="B84" t="s">
        <v>1011</v>
      </c>
      <c r="C84">
        <v>3</v>
      </c>
    </row>
    <row r="85" spans="1:4" x14ac:dyDescent="0.3">
      <c r="A85" t="str">
        <f>VLOOKUP(B85,lookup[],2,FALSE)</f>
        <v>SC_11292018_376</v>
      </c>
      <c r="B85" t="s">
        <v>1013</v>
      </c>
      <c r="C85">
        <v>2</v>
      </c>
      <c r="D85" t="s">
        <v>2560</v>
      </c>
    </row>
    <row r="86" spans="1:4" x14ac:dyDescent="0.3">
      <c r="A86" t="str">
        <f>VLOOKUP(B86,lookup[],2,FALSE)</f>
        <v>SC_12_50004E</v>
      </c>
      <c r="B86" t="s">
        <v>1022</v>
      </c>
      <c r="C86">
        <v>3</v>
      </c>
    </row>
    <row r="87" spans="1:4" x14ac:dyDescent="0.3">
      <c r="A87" t="str">
        <f>VLOOKUP(B87,lookup[],2,FALSE)</f>
        <v>SC_12_50005E</v>
      </c>
      <c r="B87" t="s">
        <v>1024</v>
      </c>
      <c r="C87">
        <v>3</v>
      </c>
      <c r="D87" t="s">
        <v>2560</v>
      </c>
    </row>
    <row r="88" spans="1:4" x14ac:dyDescent="0.3">
      <c r="A88" t="str">
        <f>VLOOKUP(B88,lookup[],2,FALSE)</f>
        <v>SC_12_50006E</v>
      </c>
      <c r="B88" t="s">
        <v>1026</v>
      </c>
      <c r="C88">
        <v>3</v>
      </c>
      <c r="D88" t="s">
        <v>2560</v>
      </c>
    </row>
    <row r="89" spans="1:4" x14ac:dyDescent="0.3">
      <c r="A89" t="str">
        <f>VLOOKUP(B89,lookup[],2,FALSE)</f>
        <v>SC_12_50007E</v>
      </c>
      <c r="B89" t="s">
        <v>1028</v>
      </c>
      <c r="C89">
        <v>2</v>
      </c>
    </row>
    <row r="90" spans="1:4" x14ac:dyDescent="0.3">
      <c r="A90" t="str">
        <f>VLOOKUP(B90,lookup[],2,FALSE)</f>
        <v>SC_12_50008E</v>
      </c>
      <c r="B90" t="s">
        <v>1030</v>
      </c>
      <c r="C90">
        <v>2</v>
      </c>
    </row>
    <row r="91" spans="1:4" x14ac:dyDescent="0.3">
      <c r="A91" t="str">
        <f>VLOOKUP(B91,lookup[],2,FALSE)</f>
        <v>SC_12_50009E</v>
      </c>
      <c r="B91" t="s">
        <v>1032</v>
      </c>
      <c r="C91">
        <v>3</v>
      </c>
    </row>
    <row r="92" spans="1:4" x14ac:dyDescent="0.3">
      <c r="A92" t="str">
        <f>VLOOKUP(B92,lookup[],2,FALSE)</f>
        <v>SC_12_50012E</v>
      </c>
      <c r="B92" t="s">
        <v>1034</v>
      </c>
      <c r="C92">
        <v>3</v>
      </c>
      <c r="D92" t="s">
        <v>2558</v>
      </c>
    </row>
    <row r="93" spans="1:4" x14ac:dyDescent="0.3">
      <c r="A93" t="str">
        <f>VLOOKUP(B93,lookup[],2,FALSE)</f>
        <v>SC_12_50013E</v>
      </c>
      <c r="B93" t="s">
        <v>1036</v>
      </c>
      <c r="C93">
        <v>3</v>
      </c>
    </row>
    <row r="94" spans="1:4" x14ac:dyDescent="0.3">
      <c r="A94" t="str">
        <f>VLOOKUP(B94,lookup[],2,FALSE)</f>
        <v>SC_12_50014E</v>
      </c>
      <c r="B94" t="s">
        <v>1038</v>
      </c>
      <c r="C94">
        <v>3</v>
      </c>
    </row>
    <row r="95" spans="1:4" x14ac:dyDescent="0.3">
      <c r="A95" t="str">
        <f>VLOOKUP(B95,lookup[],2,FALSE)</f>
        <v>SC_12_50015E</v>
      </c>
      <c r="B95" t="s">
        <v>1040</v>
      </c>
      <c r="C95">
        <v>2</v>
      </c>
    </row>
    <row r="96" spans="1:4" x14ac:dyDescent="0.3">
      <c r="A96" t="str">
        <f>VLOOKUP(B96,lookup[],2,FALSE)</f>
        <v>SC_12_50017E</v>
      </c>
      <c r="B96" t="s">
        <v>1042</v>
      </c>
      <c r="C96">
        <v>3</v>
      </c>
    </row>
    <row r="97" spans="1:4" x14ac:dyDescent="0.3">
      <c r="A97" t="str">
        <f>VLOOKUP(B97,lookup[],2,FALSE)</f>
        <v>SC_12_50018E</v>
      </c>
      <c r="B97" t="s">
        <v>1044</v>
      </c>
      <c r="C97">
        <v>3</v>
      </c>
    </row>
    <row r="98" spans="1:4" x14ac:dyDescent="0.3">
      <c r="A98" t="str">
        <f>VLOOKUP(B98,lookup[],2,FALSE)</f>
        <v>SC_12_50019E</v>
      </c>
      <c r="B98" t="s">
        <v>1046</v>
      </c>
      <c r="C98">
        <v>3</v>
      </c>
    </row>
    <row r="99" spans="1:4" x14ac:dyDescent="0.3">
      <c r="A99" t="str">
        <f>VLOOKUP(B99,lookup[],2,FALSE)</f>
        <v>SC_12_50020E</v>
      </c>
      <c r="B99" t="s">
        <v>1048</v>
      </c>
      <c r="C99">
        <v>3</v>
      </c>
    </row>
    <row r="100" spans="1:4" x14ac:dyDescent="0.3">
      <c r="A100" t="str">
        <f>VLOOKUP(B100,lookup[],2,FALSE)</f>
        <v>SC_12_50021E</v>
      </c>
      <c r="B100" t="s">
        <v>1050</v>
      </c>
      <c r="C100">
        <v>2</v>
      </c>
    </row>
    <row r="101" spans="1:4" x14ac:dyDescent="0.3">
      <c r="A101" t="str">
        <f>VLOOKUP(B101,lookup[],2,FALSE)</f>
        <v>SC_12_50022E</v>
      </c>
      <c r="B101" t="s">
        <v>1052</v>
      </c>
      <c r="C101">
        <v>2</v>
      </c>
    </row>
    <row r="102" spans="1:4" x14ac:dyDescent="0.3">
      <c r="A102" t="str">
        <f>VLOOKUP(B102,lookup[],2,FALSE)</f>
        <v>SC_12_50023E</v>
      </c>
      <c r="B102" t="s">
        <v>1054</v>
      </c>
      <c r="C102">
        <v>2</v>
      </c>
    </row>
    <row r="103" spans="1:4" x14ac:dyDescent="0.3">
      <c r="A103" t="str">
        <f>VLOOKUP(B103,lookup[],2,FALSE)</f>
        <v>SC_12_50024E</v>
      </c>
      <c r="B103" t="s">
        <v>1056</v>
      </c>
      <c r="C103">
        <v>3</v>
      </c>
    </row>
    <row r="104" spans="1:4" x14ac:dyDescent="0.3">
      <c r="A104" t="str">
        <f>VLOOKUP(B104,lookup[],2,FALSE)</f>
        <v>SC_12_50025E</v>
      </c>
      <c r="B104" t="s">
        <v>1058</v>
      </c>
      <c r="C104">
        <v>3</v>
      </c>
    </row>
    <row r="105" spans="1:4" x14ac:dyDescent="0.3">
      <c r="A105" t="str">
        <f>VLOOKUP(B105,lookup[],2,FALSE)</f>
        <v>SC_12_50026E</v>
      </c>
      <c r="B105" t="s">
        <v>1060</v>
      </c>
      <c r="D105" t="s">
        <v>2561</v>
      </c>
    </row>
    <row r="106" spans="1:4" x14ac:dyDescent="0.3">
      <c r="A106" t="str">
        <f>VLOOKUP(B106,lookup[],2,FALSE)</f>
        <v>SC_12_50027E</v>
      </c>
      <c r="B106" t="s">
        <v>1062</v>
      </c>
      <c r="C106">
        <v>2</v>
      </c>
    </row>
    <row r="107" spans="1:4" x14ac:dyDescent="0.3">
      <c r="A107" t="str">
        <f>VLOOKUP(B107,lookup[],2,FALSE)</f>
        <v>SC_12_50028E</v>
      </c>
      <c r="B107" t="s">
        <v>1064</v>
      </c>
      <c r="C107">
        <v>3</v>
      </c>
    </row>
    <row r="108" spans="1:4" x14ac:dyDescent="0.3">
      <c r="A108" t="str">
        <f>VLOOKUP(B108,lookup[],2,FALSE)</f>
        <v>SC_12_50029E</v>
      </c>
      <c r="B108" t="s">
        <v>1066</v>
      </c>
      <c r="C108">
        <v>3</v>
      </c>
    </row>
    <row r="109" spans="1:4" x14ac:dyDescent="0.3">
      <c r="A109" t="str">
        <f>VLOOKUP(B109,lookup[],2,FALSE)</f>
        <v>SC_12_50030E</v>
      </c>
      <c r="B109" t="s">
        <v>1068</v>
      </c>
      <c r="C109">
        <v>4</v>
      </c>
    </row>
    <row r="110" spans="1:4" x14ac:dyDescent="0.3">
      <c r="A110" t="str">
        <f>VLOOKUP(B110,lookup[],2,FALSE)</f>
        <v>SC_12_50031E</v>
      </c>
      <c r="B110" t="s">
        <v>1070</v>
      </c>
      <c r="C110">
        <v>2</v>
      </c>
      <c r="D110" t="s">
        <v>2560</v>
      </c>
    </row>
    <row r="111" spans="1:4" x14ac:dyDescent="0.3">
      <c r="A111" t="str">
        <f>VLOOKUP(B111,lookup[],2,FALSE)</f>
        <v>SC_12_50032E</v>
      </c>
      <c r="B111" t="s">
        <v>1072</v>
      </c>
      <c r="C111">
        <v>3</v>
      </c>
    </row>
    <row r="112" spans="1:4" x14ac:dyDescent="0.3">
      <c r="A112" t="str">
        <f>VLOOKUP(B112,lookup[],2,FALSE)</f>
        <v>SC_12_50033E</v>
      </c>
      <c r="B112" t="s">
        <v>1074</v>
      </c>
      <c r="C112">
        <v>3</v>
      </c>
      <c r="D112" t="s">
        <v>2560</v>
      </c>
    </row>
    <row r="113" spans="1:4" x14ac:dyDescent="0.3">
      <c r="A113" t="str">
        <f>VLOOKUP(B113,lookup[],2,FALSE)</f>
        <v>SC_12_50034E</v>
      </c>
      <c r="B113" t="s">
        <v>1076</v>
      </c>
      <c r="C113">
        <v>3</v>
      </c>
    </row>
    <row r="114" spans="1:4" x14ac:dyDescent="0.3">
      <c r="A114" t="str">
        <f>VLOOKUP(B114,lookup[],2,FALSE)</f>
        <v>SC_12_50036E</v>
      </c>
      <c r="B114" t="s">
        <v>1078</v>
      </c>
      <c r="C114">
        <v>3</v>
      </c>
      <c r="D114" t="s">
        <v>2560</v>
      </c>
    </row>
    <row r="115" spans="1:4" x14ac:dyDescent="0.3">
      <c r="A115" t="str">
        <f>VLOOKUP(B115,lookup[],2,FALSE)</f>
        <v>SC_12_50037E</v>
      </c>
      <c r="B115" t="s">
        <v>1080</v>
      </c>
      <c r="C115">
        <v>3</v>
      </c>
    </row>
    <row r="116" spans="1:4" x14ac:dyDescent="0.3">
      <c r="A116" t="str">
        <f>VLOOKUP(B116,lookup[],2,FALSE)</f>
        <v>SC_12_50038E</v>
      </c>
      <c r="B116" t="s">
        <v>1082</v>
      </c>
      <c r="C116">
        <v>3</v>
      </c>
    </row>
    <row r="117" spans="1:4" x14ac:dyDescent="0.3">
      <c r="A117" t="str">
        <f>VLOOKUP(B117,lookup[],2,FALSE)</f>
        <v>SC_12_50039E</v>
      </c>
      <c r="B117" t="s">
        <v>1084</v>
      </c>
      <c r="C117">
        <v>3</v>
      </c>
    </row>
    <row r="118" spans="1:4" x14ac:dyDescent="0.3">
      <c r="A118" t="str">
        <f>VLOOKUP(B118,lookup[],2,FALSE)</f>
        <v>SC_12_50040E</v>
      </c>
      <c r="B118" t="s">
        <v>1086</v>
      </c>
      <c r="C118">
        <v>2</v>
      </c>
      <c r="D118" t="s">
        <v>2564</v>
      </c>
    </row>
    <row r="119" spans="1:4" x14ac:dyDescent="0.3">
      <c r="A119" t="str">
        <f>VLOOKUP(B119,lookup[],2,FALSE)</f>
        <v>SC_12_50041E</v>
      </c>
      <c r="B119" t="s">
        <v>1088</v>
      </c>
      <c r="D119" t="s">
        <v>2565</v>
      </c>
    </row>
    <row r="120" spans="1:4" x14ac:dyDescent="0.3">
      <c r="A120" t="str">
        <f>VLOOKUP(B120,lookup[],2,FALSE)</f>
        <v>SC_12_50042E</v>
      </c>
      <c r="B120" t="s">
        <v>1090</v>
      </c>
      <c r="C120">
        <v>3</v>
      </c>
    </row>
    <row r="121" spans="1:4" x14ac:dyDescent="0.3">
      <c r="A121" t="str">
        <f>VLOOKUP(B121,lookup[],2,FALSE)</f>
        <v>SC_12_50043E</v>
      </c>
      <c r="B121" t="s">
        <v>1092</v>
      </c>
      <c r="C121">
        <v>3</v>
      </c>
    </row>
    <row r="122" spans="1:4" x14ac:dyDescent="0.3">
      <c r="A122" t="str">
        <f>VLOOKUP(B122,lookup[],2,FALSE)</f>
        <v>SC_12_50044E</v>
      </c>
      <c r="B122" t="s">
        <v>1094</v>
      </c>
      <c r="C122">
        <v>3</v>
      </c>
    </row>
    <row r="123" spans="1:4" x14ac:dyDescent="0.3">
      <c r="A123" t="str">
        <f>VLOOKUP(B123,lookup[],2,FALSE)</f>
        <v>SC_12_50045E</v>
      </c>
      <c r="B123" t="s">
        <v>1096</v>
      </c>
      <c r="D123" t="s">
        <v>2562</v>
      </c>
    </row>
    <row r="124" spans="1:4" x14ac:dyDescent="0.3">
      <c r="A124" t="str">
        <f>VLOOKUP(B124,lookup[],2,FALSE)</f>
        <v>SC_12_50046E</v>
      </c>
      <c r="B124" t="s">
        <v>1098</v>
      </c>
      <c r="C124">
        <v>3</v>
      </c>
    </row>
    <row r="125" spans="1:4" x14ac:dyDescent="0.3">
      <c r="A125" t="str">
        <f>VLOOKUP(B125,lookup[],2,FALSE)</f>
        <v>SC_12_50047E</v>
      </c>
      <c r="B125" t="s">
        <v>1100</v>
      </c>
      <c r="C125">
        <v>3</v>
      </c>
    </row>
    <row r="126" spans="1:4" x14ac:dyDescent="0.3">
      <c r="A126" t="str">
        <f>VLOOKUP(B126,lookup[],2,FALSE)</f>
        <v>SC_12_50049E</v>
      </c>
      <c r="B126" t="s">
        <v>1102</v>
      </c>
      <c r="D126" t="s">
        <v>17</v>
      </c>
    </row>
    <row r="127" spans="1:4" x14ac:dyDescent="0.3">
      <c r="A127" t="str">
        <f>VLOOKUP(B127,lookup[],2,FALSE)</f>
        <v>SC_12_50051E</v>
      </c>
      <c r="B127" t="s">
        <v>1104</v>
      </c>
      <c r="C127">
        <v>2</v>
      </c>
    </row>
    <row r="128" spans="1:4" x14ac:dyDescent="0.3">
      <c r="A128" t="str">
        <f>VLOOKUP(B128,lookup[],2,FALSE)</f>
        <v>SC_12_50052E</v>
      </c>
      <c r="B128" t="s">
        <v>1106</v>
      </c>
      <c r="C128">
        <v>3</v>
      </c>
    </row>
    <row r="129" spans="1:4" x14ac:dyDescent="0.3">
      <c r="A129" t="str">
        <f>VLOOKUP(B129,lookup[],2,FALSE)</f>
        <v>SC_12_50053E</v>
      </c>
      <c r="B129" t="s">
        <v>1108</v>
      </c>
      <c r="C129">
        <v>3</v>
      </c>
    </row>
    <row r="130" spans="1:4" x14ac:dyDescent="0.3">
      <c r="A130" t="str">
        <f>VLOOKUP(B130,lookup[],2,FALSE)</f>
        <v>SC_12_50054E</v>
      </c>
      <c r="B130" t="s">
        <v>1110</v>
      </c>
      <c r="C130">
        <v>3</v>
      </c>
    </row>
    <row r="131" spans="1:4" x14ac:dyDescent="0.3">
      <c r="A131" t="str">
        <f>VLOOKUP(B131,lookup[],2,FALSE)</f>
        <v>SC_12_50055E</v>
      </c>
      <c r="B131" t="s">
        <v>1112</v>
      </c>
      <c r="C131">
        <v>3</v>
      </c>
    </row>
    <row r="132" spans="1:4" x14ac:dyDescent="0.3">
      <c r="A132" t="str">
        <f>VLOOKUP(B132,lookup[],2,FALSE)</f>
        <v>SC_12_50056E</v>
      </c>
      <c r="B132" t="s">
        <v>1114</v>
      </c>
      <c r="C132">
        <v>3</v>
      </c>
    </row>
    <row r="133" spans="1:4" x14ac:dyDescent="0.3">
      <c r="A133" t="str">
        <f>VLOOKUP(B133,lookup[],2,FALSE)</f>
        <v>SC_12_50057E</v>
      </c>
      <c r="B133" t="s">
        <v>1116</v>
      </c>
      <c r="C133">
        <v>3</v>
      </c>
    </row>
    <row r="134" spans="1:4" x14ac:dyDescent="0.3">
      <c r="A134" t="str">
        <f>VLOOKUP(B134,lookup[],2,FALSE)</f>
        <v>SC_12_50058E</v>
      </c>
      <c r="B134" t="s">
        <v>1118</v>
      </c>
      <c r="C134">
        <v>3</v>
      </c>
    </row>
    <row r="135" spans="1:4" x14ac:dyDescent="0.3">
      <c r="A135" t="str">
        <f>VLOOKUP(B135,lookup[],2,FALSE)</f>
        <v>SC_12_50059E</v>
      </c>
      <c r="B135" t="s">
        <v>1120</v>
      </c>
      <c r="C135">
        <v>4</v>
      </c>
    </row>
    <row r="136" spans="1:4" x14ac:dyDescent="0.3">
      <c r="A136" t="str">
        <f>VLOOKUP(B136,lookup[],2,FALSE)</f>
        <v>SC_12_50060E</v>
      </c>
      <c r="B136" t="s">
        <v>1122</v>
      </c>
      <c r="C136">
        <v>3</v>
      </c>
    </row>
    <row r="137" spans="1:4" x14ac:dyDescent="0.3">
      <c r="A137" t="str">
        <f>VLOOKUP(B137,lookup[],2,FALSE)</f>
        <v>SC_12_50064E</v>
      </c>
      <c r="B137" t="s">
        <v>1124</v>
      </c>
      <c r="D137" t="s">
        <v>2566</v>
      </c>
    </row>
    <row r="138" spans="1:4" x14ac:dyDescent="0.3">
      <c r="A138" t="str">
        <f>VLOOKUP(B138,lookup[],2,FALSE)</f>
        <v>SC_12_50065E</v>
      </c>
      <c r="B138" t="s">
        <v>1126</v>
      </c>
      <c r="C138">
        <v>3</v>
      </c>
    </row>
    <row r="139" spans="1:4" x14ac:dyDescent="0.3">
      <c r="A139" t="str">
        <f>VLOOKUP(B139,lookup[],2,FALSE)</f>
        <v>SC_12_50066E</v>
      </c>
      <c r="B139" t="s">
        <v>1128</v>
      </c>
      <c r="C139">
        <v>3</v>
      </c>
    </row>
    <row r="140" spans="1:4" x14ac:dyDescent="0.3">
      <c r="A140" t="str">
        <f>VLOOKUP(B140,lookup[],2,FALSE)</f>
        <v>SC_12_50067E</v>
      </c>
      <c r="B140" t="s">
        <v>1130</v>
      </c>
      <c r="C140">
        <v>2</v>
      </c>
    </row>
    <row r="141" spans="1:4" x14ac:dyDescent="0.3">
      <c r="A141" t="str">
        <f>VLOOKUP(B141,lookup[],2,FALSE)</f>
        <v>SC_12_50068E</v>
      </c>
      <c r="B141" t="s">
        <v>1132</v>
      </c>
      <c r="D141" t="s">
        <v>17</v>
      </c>
    </row>
    <row r="142" spans="1:4" x14ac:dyDescent="0.3">
      <c r="A142" t="str">
        <f>VLOOKUP(B142,lookup[],2,FALSE)</f>
        <v>SC_12_50071E</v>
      </c>
      <c r="B142" t="s">
        <v>1134</v>
      </c>
      <c r="C142">
        <v>3</v>
      </c>
    </row>
    <row r="143" spans="1:4" x14ac:dyDescent="0.3">
      <c r="A143" t="str">
        <f>VLOOKUP(B143,lookup[],2,FALSE)</f>
        <v>SC_12_50072E</v>
      </c>
      <c r="B143" t="s">
        <v>1136</v>
      </c>
      <c r="C143">
        <v>3</v>
      </c>
    </row>
    <row r="144" spans="1:4" x14ac:dyDescent="0.3">
      <c r="A144" t="str">
        <f>VLOOKUP(B144,lookup[],2,FALSE)</f>
        <v>SC_YUB_15353</v>
      </c>
      <c r="B144" t="s">
        <v>1878</v>
      </c>
      <c r="C144">
        <v>3</v>
      </c>
    </row>
    <row r="145" spans="1:4" x14ac:dyDescent="0.3">
      <c r="A145" t="str">
        <f>VLOOKUP(B145,lookup[],2,FALSE)</f>
        <v>SC_YUB_15301</v>
      </c>
      <c r="B145" t="s">
        <v>1836</v>
      </c>
      <c r="C145">
        <v>2</v>
      </c>
    </row>
    <row r="146" spans="1:4" x14ac:dyDescent="0.3">
      <c r="A146" t="str">
        <f>VLOOKUP(B146,lookup[],2,FALSE)</f>
        <v>SC_YUB_15302</v>
      </c>
      <c r="B146" t="s">
        <v>1838</v>
      </c>
      <c r="C146">
        <v>2</v>
      </c>
    </row>
    <row r="147" spans="1:4" x14ac:dyDescent="0.3">
      <c r="A147" t="str">
        <f>VLOOKUP(B147,lookup[],2,FALSE)</f>
        <v>SC_YUB_15303</v>
      </c>
      <c r="B147" t="s">
        <v>1840</v>
      </c>
      <c r="C147">
        <v>2</v>
      </c>
    </row>
    <row r="148" spans="1:4" x14ac:dyDescent="0.3">
      <c r="A148" t="str">
        <f>VLOOKUP(B148,lookup[],2,FALSE)</f>
        <v>SC_YUB_15304</v>
      </c>
      <c r="B148" t="s">
        <v>1842</v>
      </c>
      <c r="C148">
        <v>2</v>
      </c>
    </row>
    <row r="149" spans="1:4" x14ac:dyDescent="0.3">
      <c r="A149" t="str">
        <f>VLOOKUP(B149,lookup[],2,FALSE)</f>
        <v>SC_16_50000E</v>
      </c>
      <c r="B149" t="s">
        <v>1270</v>
      </c>
      <c r="C149">
        <v>3</v>
      </c>
    </row>
    <row r="150" spans="1:4" x14ac:dyDescent="0.3">
      <c r="A150" t="str">
        <f>VLOOKUP(B150,lookup[],2,FALSE)</f>
        <v>SC_18_50000E</v>
      </c>
      <c r="B150" t="s">
        <v>1272</v>
      </c>
      <c r="C150">
        <v>3</v>
      </c>
    </row>
    <row r="151" spans="1:4" x14ac:dyDescent="0.3">
      <c r="A151" t="str">
        <f>VLOOKUP(B151,lookup[],2,FALSE)</f>
        <v>SC_18_50004E</v>
      </c>
      <c r="B151" t="s">
        <v>1274</v>
      </c>
      <c r="C151">
        <v>3</v>
      </c>
    </row>
    <row r="152" spans="1:4" x14ac:dyDescent="0.3">
      <c r="A152" t="str">
        <f>VLOOKUP(B152,lookup[],2,FALSE)</f>
        <v>SC_18_50006E</v>
      </c>
      <c r="B152" t="s">
        <v>1278</v>
      </c>
      <c r="C152">
        <v>3</v>
      </c>
    </row>
    <row r="153" spans="1:4" x14ac:dyDescent="0.3">
      <c r="A153" t="str">
        <f>VLOOKUP(B153,lookup[],2,FALSE)</f>
        <v>SC_18_50005E</v>
      </c>
      <c r="B153" t="s">
        <v>1276</v>
      </c>
      <c r="C153">
        <v>3</v>
      </c>
    </row>
    <row r="154" spans="1:4" x14ac:dyDescent="0.3">
      <c r="A154" t="str">
        <f>VLOOKUP(B154,lookup[],2,FALSE)</f>
        <v>SC_19_50022E</v>
      </c>
      <c r="B154" t="s">
        <v>1282</v>
      </c>
      <c r="C154">
        <v>2</v>
      </c>
    </row>
    <row r="155" spans="1:4" x14ac:dyDescent="0.3">
      <c r="A155" t="str">
        <f>VLOOKUP(B155,lookup[],2,FALSE)</f>
        <v>SC_19_50021E</v>
      </c>
      <c r="B155" t="s">
        <v>1280</v>
      </c>
      <c r="C155">
        <v>2</v>
      </c>
      <c r="D155" t="s">
        <v>2567</v>
      </c>
    </row>
    <row r="156" spans="1:4" x14ac:dyDescent="0.3">
      <c r="A156" t="str">
        <f>VLOOKUP(B156,lookup[],2,FALSE)</f>
        <v>SC_20_50000E</v>
      </c>
      <c r="B156" t="s">
        <v>1284</v>
      </c>
      <c r="C156">
        <v>2</v>
      </c>
    </row>
    <row r="157" spans="1:4" x14ac:dyDescent="0.3">
      <c r="A157" t="str">
        <f>VLOOKUP(B157,lookup[],2,FALSE)</f>
        <v>SC_21_50001E</v>
      </c>
      <c r="B157" t="s">
        <v>1286</v>
      </c>
      <c r="C157">
        <v>4</v>
      </c>
    </row>
    <row r="158" spans="1:4" x14ac:dyDescent="0.3">
      <c r="A158" t="str">
        <f>VLOOKUP(B158,lookup[],2,FALSE)</f>
        <v>SC_21_50002E</v>
      </c>
      <c r="B158" t="s">
        <v>1288</v>
      </c>
      <c r="C158">
        <v>3</v>
      </c>
    </row>
    <row r="159" spans="1:4" x14ac:dyDescent="0.3">
      <c r="A159" t="str">
        <f>VLOOKUP(B159,lookup[],2,FALSE)</f>
        <v>SC_21_50003E</v>
      </c>
      <c r="B159" t="s">
        <v>1290</v>
      </c>
      <c r="C159">
        <v>3</v>
      </c>
    </row>
    <row r="160" spans="1:4" x14ac:dyDescent="0.3">
      <c r="A160" t="str">
        <f>VLOOKUP(B160,lookup[],2,FALSE)</f>
        <v>SC_21_50004E</v>
      </c>
      <c r="B160" t="s">
        <v>1292</v>
      </c>
      <c r="D160" t="s">
        <v>2567</v>
      </c>
    </row>
    <row r="161" spans="1:4" x14ac:dyDescent="0.3">
      <c r="A161" t="str">
        <f>VLOOKUP(B161,lookup[],2,FALSE)</f>
        <v>SC_21_50005E</v>
      </c>
      <c r="B161" t="s">
        <v>1294</v>
      </c>
      <c r="C161">
        <v>3</v>
      </c>
    </row>
    <row r="162" spans="1:4" x14ac:dyDescent="0.3">
      <c r="A162" t="str">
        <f>VLOOKUP(B162,lookup[],2,FALSE)</f>
        <v>SC_21_50015E</v>
      </c>
      <c r="B162" t="s">
        <v>1308</v>
      </c>
      <c r="C162">
        <v>3</v>
      </c>
    </row>
    <row r="163" spans="1:4" x14ac:dyDescent="0.3">
      <c r="A163" t="str">
        <f>VLOOKUP(B163,lookup[],2,FALSE)</f>
        <v>SC_21_50016E</v>
      </c>
      <c r="B163" t="s">
        <v>1310</v>
      </c>
      <c r="C163">
        <v>2</v>
      </c>
    </row>
    <row r="164" spans="1:4" x14ac:dyDescent="0.3">
      <c r="A164" t="str">
        <f>VLOOKUP(B164,lookup[],2,FALSE)</f>
        <v>SC_21_50021E</v>
      </c>
      <c r="B164" t="s">
        <v>1312</v>
      </c>
      <c r="C164">
        <v>3</v>
      </c>
    </row>
    <row r="165" spans="1:4" x14ac:dyDescent="0.3">
      <c r="A165" t="str">
        <f>VLOOKUP(B165,lookup[],2,FALSE)</f>
        <v>SC_21_50023E</v>
      </c>
      <c r="B165" t="s">
        <v>1314</v>
      </c>
      <c r="C165">
        <v>2</v>
      </c>
    </row>
    <row r="166" spans="1:4" x14ac:dyDescent="0.3">
      <c r="A166" t="str">
        <f>VLOOKUP(B166,lookup[],2,FALSE)</f>
        <v>SC_21_50028E</v>
      </c>
      <c r="B166" t="s">
        <v>1316</v>
      </c>
      <c r="C166">
        <v>3</v>
      </c>
    </row>
    <row r="167" spans="1:4" x14ac:dyDescent="0.3">
      <c r="A167" t="str">
        <f>VLOOKUP(B167,lookup[],2,FALSE)</f>
        <v>SC_21_51076E</v>
      </c>
      <c r="B167" t="s">
        <v>1318</v>
      </c>
      <c r="C167">
        <v>2</v>
      </c>
    </row>
    <row r="168" spans="1:4" x14ac:dyDescent="0.3">
      <c r="A168" t="str">
        <f>VLOOKUP(B168,lookup[],2,FALSE)</f>
        <v>SC_21_51077E</v>
      </c>
      <c r="B168" t="s">
        <v>1320</v>
      </c>
      <c r="C168">
        <v>3</v>
      </c>
    </row>
    <row r="169" spans="1:4" x14ac:dyDescent="0.3">
      <c r="A169" t="str">
        <f>VLOOKUP(B169,lookup[],2,FALSE)</f>
        <v>SC_13_50005E</v>
      </c>
      <c r="B169" t="s">
        <v>1182</v>
      </c>
      <c r="C169">
        <v>3</v>
      </c>
    </row>
    <row r="170" spans="1:4" x14ac:dyDescent="0.3">
      <c r="A170" t="str">
        <f>VLOOKUP(B170,lookup[],2,FALSE)</f>
        <v>SC_13_50006E</v>
      </c>
      <c r="B170" t="s">
        <v>1184</v>
      </c>
      <c r="C170">
        <v>4</v>
      </c>
    </row>
    <row r="171" spans="1:4" x14ac:dyDescent="0.3">
      <c r="A171" t="str">
        <f>VLOOKUP(B171,lookup[],2,FALSE)</f>
        <v>SC_13_50008E</v>
      </c>
      <c r="B171" t="s">
        <v>1186</v>
      </c>
      <c r="C171">
        <v>3</v>
      </c>
    </row>
    <row r="172" spans="1:4" x14ac:dyDescent="0.3">
      <c r="A172" t="str">
        <f>VLOOKUP(B172,lookup[],2,FALSE)</f>
        <v>SC_13_50009E</v>
      </c>
      <c r="B172" t="s">
        <v>1188</v>
      </c>
      <c r="C172">
        <v>4</v>
      </c>
    </row>
    <row r="173" spans="1:4" x14ac:dyDescent="0.3">
      <c r="A173" t="str">
        <f>VLOOKUP(B173,lookup[],2,FALSE)</f>
        <v>SC_13_50010E</v>
      </c>
      <c r="B173" t="s">
        <v>1190</v>
      </c>
      <c r="C173">
        <v>4</v>
      </c>
    </row>
    <row r="174" spans="1:4" x14ac:dyDescent="0.3">
      <c r="A174" t="str">
        <f>VLOOKUP(B174,lookup[],2,FALSE)</f>
        <v>SC_13_50011E</v>
      </c>
      <c r="B174" t="s">
        <v>1192</v>
      </c>
      <c r="C174">
        <v>3</v>
      </c>
    </row>
    <row r="175" spans="1:4" x14ac:dyDescent="0.3">
      <c r="A175" t="str">
        <f>VLOOKUP(B175,lookup[],2,FALSE)</f>
        <v>SC_13_50012E</v>
      </c>
      <c r="B175" t="s">
        <v>1194</v>
      </c>
      <c r="C175">
        <v>3</v>
      </c>
      <c r="D175" t="s">
        <v>2560</v>
      </c>
    </row>
    <row r="176" spans="1:4" x14ac:dyDescent="0.3">
      <c r="A176" t="str">
        <f>VLOOKUP(B176,lookup[],2,FALSE)</f>
        <v>SC_13_50013E</v>
      </c>
      <c r="B176" t="s">
        <v>1196</v>
      </c>
      <c r="C176">
        <v>4</v>
      </c>
      <c r="D176" t="s">
        <v>2567</v>
      </c>
    </row>
    <row r="177" spans="1:3" x14ac:dyDescent="0.3">
      <c r="A177" t="str">
        <f>VLOOKUP(B177,lookup[],2,FALSE)</f>
        <v>SC_13_50016E</v>
      </c>
      <c r="B177" t="s">
        <v>1198</v>
      </c>
      <c r="C177">
        <v>4</v>
      </c>
    </row>
    <row r="178" spans="1:3" x14ac:dyDescent="0.3">
      <c r="A178" t="str">
        <f>VLOOKUP(B178,lookup[],2,FALSE)</f>
        <v>SC_13_50018E</v>
      </c>
      <c r="B178" t="s">
        <v>1200</v>
      </c>
      <c r="C178">
        <v>3</v>
      </c>
    </row>
    <row r="179" spans="1:3" x14ac:dyDescent="0.3">
      <c r="A179" t="str">
        <f>VLOOKUP(B179,lookup[],2,FALSE)</f>
        <v>SC_13_50019E</v>
      </c>
      <c r="B179" t="s">
        <v>1202</v>
      </c>
      <c r="C179">
        <v>3</v>
      </c>
    </row>
    <row r="180" spans="1:3" x14ac:dyDescent="0.3">
      <c r="A180" t="str">
        <f>VLOOKUP(B180,lookup[],2,FALSE)</f>
        <v>SC_13_50020E</v>
      </c>
      <c r="B180" t="s">
        <v>1204</v>
      </c>
      <c r="C180">
        <v>3</v>
      </c>
    </row>
    <row r="181" spans="1:3" x14ac:dyDescent="0.3">
      <c r="A181" t="str">
        <f>VLOOKUP(B181,lookup[],2,FALSE)</f>
        <v>SC_13_50021E</v>
      </c>
      <c r="B181" t="s">
        <v>1206</v>
      </c>
      <c r="C181">
        <v>3</v>
      </c>
    </row>
    <row r="182" spans="1:3" x14ac:dyDescent="0.3">
      <c r="A182" t="str">
        <f>VLOOKUP(B182,lookup[],2,FALSE)</f>
        <v>SC_13_50022E</v>
      </c>
      <c r="B182" t="s">
        <v>1208</v>
      </c>
      <c r="C182">
        <v>4</v>
      </c>
    </row>
    <row r="183" spans="1:3" x14ac:dyDescent="0.3">
      <c r="A183" t="str">
        <f>VLOOKUP(B183,lookup[],2,FALSE)</f>
        <v>SC_13_50023E</v>
      </c>
      <c r="B183" t="s">
        <v>1210</v>
      </c>
      <c r="C183">
        <v>3</v>
      </c>
    </row>
    <row r="184" spans="1:3" x14ac:dyDescent="0.3">
      <c r="A184" t="str">
        <f>VLOOKUP(B184,lookup[],2,FALSE)</f>
        <v>SC_13_50037E</v>
      </c>
      <c r="B184" t="s">
        <v>1212</v>
      </c>
      <c r="C184">
        <v>3</v>
      </c>
    </row>
    <row r="185" spans="1:3" x14ac:dyDescent="0.3">
      <c r="A185" t="str">
        <f>VLOOKUP(B185,lookup[],2,FALSE)</f>
        <v>SC_13_50039E</v>
      </c>
      <c r="B185" t="s">
        <v>1214</v>
      </c>
      <c r="C185">
        <v>2</v>
      </c>
    </row>
    <row r="186" spans="1:3" x14ac:dyDescent="0.3">
      <c r="A186" t="str">
        <f>VLOOKUP(B186,lookup[],2,FALSE)</f>
        <v>SC_13_50059E</v>
      </c>
      <c r="B186" t="s">
        <v>1216</v>
      </c>
      <c r="C186">
        <v>2</v>
      </c>
    </row>
    <row r="187" spans="1:3" x14ac:dyDescent="0.3">
      <c r="A187" t="str">
        <f>VLOOKUP(B187,lookup[],2,FALSE)</f>
        <v>SC_13_50066E</v>
      </c>
      <c r="B187" t="s">
        <v>1218</v>
      </c>
      <c r="C187">
        <v>3</v>
      </c>
    </row>
    <row r="188" spans="1:3" x14ac:dyDescent="0.3">
      <c r="A188" t="str">
        <f>VLOOKUP(B188,lookup[],2,FALSE)</f>
        <v>SC_13_50077E</v>
      </c>
      <c r="B188" t="s">
        <v>1220</v>
      </c>
      <c r="C188">
        <v>2</v>
      </c>
    </row>
    <row r="189" spans="1:3" x14ac:dyDescent="0.3">
      <c r="A189" t="str">
        <f>VLOOKUP(B189,lookup[],2,FALSE)</f>
        <v>SC_13_51007E</v>
      </c>
      <c r="B189" t="s">
        <v>1222</v>
      </c>
      <c r="C189">
        <v>3</v>
      </c>
    </row>
    <row r="190" spans="1:3" x14ac:dyDescent="0.3">
      <c r="A190" t="str">
        <f>VLOOKUP(B190,lookup[],2,FALSE)</f>
        <v>SC_13_51008E</v>
      </c>
      <c r="B190" t="s">
        <v>1224</v>
      </c>
      <c r="C190">
        <v>3</v>
      </c>
    </row>
    <row r="191" spans="1:3" x14ac:dyDescent="0.3">
      <c r="A191" t="str">
        <f>VLOOKUP(B191,lookup[],2,FALSE)</f>
        <v>SC_14_50004E</v>
      </c>
      <c r="B191" t="s">
        <v>1226</v>
      </c>
      <c r="C191">
        <v>4</v>
      </c>
    </row>
    <row r="192" spans="1:3" x14ac:dyDescent="0.3">
      <c r="A192" t="str">
        <f>VLOOKUP(B192,lookup[],2,FALSE)</f>
        <v>SC_YUB_15253</v>
      </c>
      <c r="B192" t="s">
        <v>1834</v>
      </c>
      <c r="C192">
        <v>3</v>
      </c>
    </row>
    <row r="193" spans="1:4" x14ac:dyDescent="0.3">
      <c r="A193" t="str">
        <f>VLOOKUP(B193,lookup[],2,FALSE)</f>
        <v>SC_12_50073E</v>
      </c>
      <c r="B193" t="s">
        <v>1138</v>
      </c>
      <c r="C193">
        <v>3</v>
      </c>
      <c r="D193" t="s">
        <v>2560</v>
      </c>
    </row>
    <row r="194" spans="1:4" x14ac:dyDescent="0.3">
      <c r="A194" t="str">
        <f>VLOOKUP(B194,lookup[],2,FALSE)</f>
        <v>SC_12_50074E</v>
      </c>
      <c r="B194" t="s">
        <v>1140</v>
      </c>
      <c r="C194">
        <v>3</v>
      </c>
    </row>
    <row r="195" spans="1:4" x14ac:dyDescent="0.3">
      <c r="A195" t="str">
        <f>VLOOKUP(B195,lookup[],2,FALSE)</f>
        <v>SC_12_50075E</v>
      </c>
      <c r="B195" t="s">
        <v>1142</v>
      </c>
      <c r="C195">
        <v>3</v>
      </c>
      <c r="D195" t="s">
        <v>2560</v>
      </c>
    </row>
    <row r="196" spans="1:4" x14ac:dyDescent="0.3">
      <c r="A196" t="str">
        <f>VLOOKUP(B196,lookup[],2,FALSE)</f>
        <v>SC_12_50076E</v>
      </c>
      <c r="B196" t="s">
        <v>1144</v>
      </c>
      <c r="C196">
        <v>2</v>
      </c>
    </row>
    <row r="197" spans="1:4" x14ac:dyDescent="0.3">
      <c r="A197" t="str">
        <f>VLOOKUP(B197,lookup[],2,FALSE)</f>
        <v>SC_12_50077E</v>
      </c>
      <c r="B197" t="s">
        <v>1146</v>
      </c>
      <c r="C197">
        <v>3</v>
      </c>
    </row>
    <row r="198" spans="1:4" x14ac:dyDescent="0.3">
      <c r="A198" t="str">
        <f>VLOOKUP(B198,lookup[],2,FALSE)</f>
        <v>SC_12_50078E</v>
      </c>
      <c r="B198" t="s">
        <v>1148</v>
      </c>
      <c r="C198">
        <v>2</v>
      </c>
    </row>
    <row r="199" spans="1:4" x14ac:dyDescent="0.3">
      <c r="A199" t="str">
        <f>VLOOKUP(B199,lookup[],2,FALSE)</f>
        <v>SC_12_50079E</v>
      </c>
      <c r="B199" t="s">
        <v>1150</v>
      </c>
      <c r="C199">
        <v>3</v>
      </c>
    </row>
    <row r="200" spans="1:4" x14ac:dyDescent="0.3">
      <c r="A200" t="str">
        <f>VLOOKUP(B200,lookup[],2,FALSE)</f>
        <v>SC_12_50080E</v>
      </c>
      <c r="B200" t="s">
        <v>1152</v>
      </c>
      <c r="C200">
        <v>2</v>
      </c>
      <c r="D200" t="s">
        <v>2568</v>
      </c>
    </row>
    <row r="201" spans="1:4" x14ac:dyDescent="0.3">
      <c r="A201" t="str">
        <f>VLOOKUP(B201,lookup[],2,FALSE)</f>
        <v>SC_12_50081E</v>
      </c>
      <c r="B201" t="s">
        <v>1154</v>
      </c>
      <c r="C201">
        <v>3</v>
      </c>
    </row>
    <row r="202" spans="1:4" x14ac:dyDescent="0.3">
      <c r="A202" t="str">
        <f>VLOOKUP(B202,lookup[],2,FALSE)</f>
        <v>SC_12_50082E</v>
      </c>
      <c r="B202" t="s">
        <v>1156</v>
      </c>
      <c r="C202">
        <v>3</v>
      </c>
    </row>
    <row r="203" spans="1:4" x14ac:dyDescent="0.3">
      <c r="A203" t="str">
        <f>VLOOKUP(B203,lookup[],2,FALSE)</f>
        <v>SC_12_50083E</v>
      </c>
      <c r="B203" t="s">
        <v>1158</v>
      </c>
      <c r="C203">
        <v>3</v>
      </c>
    </row>
    <row r="204" spans="1:4" x14ac:dyDescent="0.3">
      <c r="A204" t="str">
        <f>VLOOKUP(B204,lookup[],2,FALSE)</f>
        <v>SC_12_50084E</v>
      </c>
      <c r="B204" t="s">
        <v>1160</v>
      </c>
      <c r="C204">
        <v>3</v>
      </c>
    </row>
    <row r="205" spans="1:4" x14ac:dyDescent="0.3">
      <c r="A205" t="str">
        <f>VLOOKUP(B205,lookup[],2,FALSE)</f>
        <v>SC_12_50085E</v>
      </c>
      <c r="B205" t="s">
        <v>1162</v>
      </c>
      <c r="C205">
        <v>3</v>
      </c>
    </row>
    <row r="206" spans="1:4" x14ac:dyDescent="0.3">
      <c r="A206" t="str">
        <f>VLOOKUP(B206,lookup[],2,FALSE)</f>
        <v>SC_12_50086E</v>
      </c>
      <c r="B206" t="s">
        <v>1164</v>
      </c>
      <c r="C206">
        <v>2</v>
      </c>
      <c r="D206" t="s">
        <v>2560</v>
      </c>
    </row>
    <row r="207" spans="1:4" x14ac:dyDescent="0.3">
      <c r="A207" t="str">
        <f>VLOOKUP(B207,lookup[],2,FALSE)</f>
        <v>SC_12_50087E</v>
      </c>
      <c r="B207" t="s">
        <v>1166</v>
      </c>
      <c r="C207">
        <v>3</v>
      </c>
    </row>
    <row r="208" spans="1:4" x14ac:dyDescent="0.3">
      <c r="A208" t="str">
        <f>VLOOKUP(B208,lookup[],2,FALSE)</f>
        <v>SC_12_50088E</v>
      </c>
      <c r="B208" t="s">
        <v>1168</v>
      </c>
      <c r="C208">
        <v>3</v>
      </c>
    </row>
    <row r="209" spans="1:3" x14ac:dyDescent="0.3">
      <c r="A209" t="str">
        <f>VLOOKUP(B209,lookup[],2,FALSE)</f>
        <v>SC_12_50089E</v>
      </c>
      <c r="B209" t="s">
        <v>1170</v>
      </c>
      <c r="C209">
        <v>3</v>
      </c>
    </row>
    <row r="210" spans="1:3" x14ac:dyDescent="0.3">
      <c r="A210" t="str">
        <f>VLOOKUP(B210,lookup[],2,FALSE)</f>
        <v>SC_12_50090E</v>
      </c>
      <c r="B210" t="s">
        <v>1172</v>
      </c>
      <c r="C210">
        <v>3</v>
      </c>
    </row>
    <row r="211" spans="1:3" x14ac:dyDescent="0.3">
      <c r="A211" t="str">
        <f>VLOOKUP(B211,lookup[],2,FALSE)</f>
        <v>SC_12_50103E</v>
      </c>
      <c r="B211" t="s">
        <v>1174</v>
      </c>
      <c r="C211">
        <v>3</v>
      </c>
    </row>
    <row r="212" spans="1:3" x14ac:dyDescent="0.3">
      <c r="A212" t="str">
        <f>VLOOKUP(B212,lookup[],2,FALSE)</f>
        <v>SC_12_50115E</v>
      </c>
      <c r="B212" t="s">
        <v>1176</v>
      </c>
      <c r="C212">
        <v>3</v>
      </c>
    </row>
    <row r="213" spans="1:3" x14ac:dyDescent="0.3">
      <c r="A213" t="str">
        <f>VLOOKUP(B213,lookup[],2,FALSE)</f>
        <v>SC_12_50116E</v>
      </c>
      <c r="B213" t="s">
        <v>1178</v>
      </c>
      <c r="C213">
        <v>3</v>
      </c>
    </row>
    <row r="214" spans="1:3" x14ac:dyDescent="0.3">
      <c r="A214" t="str">
        <f>VLOOKUP(B214,lookup[],2,FALSE)</f>
        <v>SC_12_50117E</v>
      </c>
      <c r="B214" t="s">
        <v>1180</v>
      </c>
      <c r="C214">
        <v>3</v>
      </c>
    </row>
    <row r="215" spans="1:3" x14ac:dyDescent="0.3">
      <c r="A215" t="str">
        <f>VLOOKUP(B215,lookup[],2,FALSE)</f>
        <v>SC_09_50012E</v>
      </c>
      <c r="B215" t="s">
        <v>194</v>
      </c>
      <c r="C215">
        <v>3</v>
      </c>
    </row>
    <row r="216" spans="1:3" x14ac:dyDescent="0.3">
      <c r="A216" t="str">
        <f>VLOOKUP(B216,lookup[],2,FALSE)</f>
        <v>SC_09_51009E</v>
      </c>
      <c r="B216" t="s">
        <v>214</v>
      </c>
      <c r="C216">
        <v>3</v>
      </c>
    </row>
    <row r="217" spans="1:3" x14ac:dyDescent="0.3">
      <c r="A217" t="str">
        <f>VLOOKUP(B217,lookup[],2,FALSE)</f>
        <v>SC_10_50009E</v>
      </c>
      <c r="B217" t="s">
        <v>284</v>
      </c>
      <c r="C217">
        <v>3</v>
      </c>
    </row>
    <row r="218" spans="1:3" x14ac:dyDescent="0.3">
      <c r="A218" t="str">
        <f>VLOOKUP(B218,lookup[],2,FALSE)</f>
        <v>SC_10_50068E</v>
      </c>
      <c r="B218" t="s">
        <v>320</v>
      </c>
      <c r="C218">
        <v>3</v>
      </c>
    </row>
    <row r="219" spans="1:3" x14ac:dyDescent="0.3">
      <c r="A219" t="str">
        <f>VLOOKUP(B219,lookup[],2,FALSE)</f>
        <v>SC_11_50017E</v>
      </c>
      <c r="B219" t="s">
        <v>706</v>
      </c>
      <c r="C219">
        <v>2</v>
      </c>
    </row>
    <row r="220" spans="1:3" x14ac:dyDescent="0.3">
      <c r="A220" t="str">
        <f>VLOOKUP(B220,lookup[],2,FALSE)</f>
        <v>SC_09_50011E</v>
      </c>
      <c r="B220" t="s">
        <v>192</v>
      </c>
      <c r="C220">
        <v>2</v>
      </c>
    </row>
    <row r="221" spans="1:3" x14ac:dyDescent="0.3">
      <c r="A221" t="str">
        <f>VLOOKUP(B221,lookup[],2,FALSE)</f>
        <v>SC_09_50024E</v>
      </c>
      <c r="B221" t="s">
        <v>212</v>
      </c>
      <c r="C221">
        <v>4</v>
      </c>
    </row>
    <row r="222" spans="1:3" x14ac:dyDescent="0.3">
      <c r="A222" t="str">
        <f>VLOOKUP(B222,lookup[],2,FALSE)</f>
        <v>SC_10_50008E</v>
      </c>
      <c r="B222" t="s">
        <v>282</v>
      </c>
      <c r="C222">
        <v>2</v>
      </c>
    </row>
    <row r="223" spans="1:3" x14ac:dyDescent="0.3">
      <c r="A223" t="str">
        <f>VLOOKUP(B223,lookup[],2,FALSE)</f>
        <v>SC_10_50055E</v>
      </c>
      <c r="B223" t="s">
        <v>302</v>
      </c>
      <c r="C223">
        <v>3</v>
      </c>
    </row>
    <row r="224" spans="1:3" x14ac:dyDescent="0.3">
      <c r="A224" t="str">
        <f>VLOOKUP(B224,lookup[],2,FALSE)</f>
        <v>SC_10_50066E</v>
      </c>
      <c r="B224" t="s">
        <v>318</v>
      </c>
      <c r="C224">
        <v>3</v>
      </c>
    </row>
    <row r="225" spans="1:4" x14ac:dyDescent="0.3">
      <c r="A225" t="str">
        <f>VLOOKUP(B225,lookup[],2,FALSE)</f>
        <v>SC_11_50015E</v>
      </c>
      <c r="B225" t="s">
        <v>704</v>
      </c>
      <c r="C225">
        <v>4</v>
      </c>
    </row>
    <row r="226" spans="1:4" x14ac:dyDescent="0.3">
      <c r="A226" t="str">
        <f>VLOOKUP(B226,lookup[],2,FALSE)</f>
        <v>SC_09_50009E</v>
      </c>
      <c r="B226" t="s">
        <v>190</v>
      </c>
      <c r="D226" t="s">
        <v>17</v>
      </c>
    </row>
    <row r="227" spans="1:4" x14ac:dyDescent="0.3">
      <c r="A227" t="str">
        <f>VLOOKUP(B227,lookup[],2,FALSE)</f>
        <v>SC_09_50023E</v>
      </c>
      <c r="B227" t="s">
        <v>210</v>
      </c>
      <c r="C227">
        <v>3</v>
      </c>
    </row>
    <row r="228" spans="1:4" x14ac:dyDescent="0.3">
      <c r="A228" t="str">
        <f>VLOOKUP(B228,lookup[],2,FALSE)</f>
        <v>SC_10_50007E</v>
      </c>
      <c r="B228" t="s">
        <v>280</v>
      </c>
      <c r="C228">
        <v>3</v>
      </c>
    </row>
    <row r="229" spans="1:4" x14ac:dyDescent="0.3">
      <c r="A229" t="str">
        <f>VLOOKUP(B229,lookup[],2,FALSE)</f>
        <v>SC_10_50054E</v>
      </c>
      <c r="B229" t="s">
        <v>300</v>
      </c>
      <c r="C229">
        <v>3</v>
      </c>
    </row>
    <row r="230" spans="1:4" x14ac:dyDescent="0.3">
      <c r="A230" t="str">
        <f>VLOOKUP(B230,lookup[],2,FALSE)</f>
        <v>SC_10_50065E</v>
      </c>
      <c r="B230" t="s">
        <v>316</v>
      </c>
      <c r="C230">
        <v>3</v>
      </c>
    </row>
    <row r="231" spans="1:4" x14ac:dyDescent="0.3">
      <c r="A231" t="str">
        <f>VLOOKUP(B231,lookup[],2,FALSE)</f>
        <v>SC_11_50014E</v>
      </c>
      <c r="B231" t="s">
        <v>702</v>
      </c>
      <c r="C231">
        <v>3</v>
      </c>
    </row>
    <row r="232" spans="1:4" x14ac:dyDescent="0.3">
      <c r="A232" t="str">
        <f>VLOOKUP(B232,lookup[],2,FALSE)</f>
        <v>SC_09_50008E</v>
      </c>
      <c r="B232" t="s">
        <v>188</v>
      </c>
      <c r="C232">
        <v>2</v>
      </c>
    </row>
    <row r="233" spans="1:4" x14ac:dyDescent="0.3">
      <c r="A233" t="str">
        <f>VLOOKUP(B233,lookup[],2,FALSE)</f>
        <v>SC_09_50022E</v>
      </c>
      <c r="B233" t="s">
        <v>208</v>
      </c>
      <c r="C233">
        <v>3</v>
      </c>
    </row>
    <row r="234" spans="1:4" x14ac:dyDescent="0.3">
      <c r="A234" t="str">
        <f>VLOOKUP(B234,lookup[],2,FALSE)</f>
        <v>SC_10_50006E</v>
      </c>
      <c r="B234" t="s">
        <v>278</v>
      </c>
      <c r="C234">
        <v>3</v>
      </c>
    </row>
    <row r="235" spans="1:4" x14ac:dyDescent="0.3">
      <c r="A235" t="str">
        <f>VLOOKUP(B235,lookup[],2,FALSE)</f>
        <v>SC_10_50052E</v>
      </c>
      <c r="B235" t="s">
        <v>298</v>
      </c>
      <c r="C235">
        <v>3</v>
      </c>
    </row>
    <row r="236" spans="1:4" x14ac:dyDescent="0.3">
      <c r="A236" t="str">
        <f>VLOOKUP(B236,lookup[],2,FALSE)</f>
        <v>SC_10_50063E</v>
      </c>
      <c r="B236" t="s">
        <v>314</v>
      </c>
      <c r="C236">
        <v>2</v>
      </c>
    </row>
    <row r="237" spans="1:4" x14ac:dyDescent="0.3">
      <c r="A237" t="str">
        <f>VLOOKUP(B237,lookup[],2,FALSE)</f>
        <v>SC_11_50013E</v>
      </c>
      <c r="B237" t="s">
        <v>700</v>
      </c>
      <c r="C237">
        <v>3</v>
      </c>
    </row>
    <row r="238" spans="1:4" x14ac:dyDescent="0.3">
      <c r="A238" t="str">
        <f>VLOOKUP(B238,lookup[],2,FALSE)</f>
        <v>SC_09_50007E</v>
      </c>
      <c r="B238" t="s">
        <v>186</v>
      </c>
      <c r="C238">
        <v>3</v>
      </c>
    </row>
    <row r="239" spans="1:4" x14ac:dyDescent="0.3">
      <c r="A239" t="str">
        <f>VLOOKUP(B239,lookup[],2,FALSE)</f>
        <v>SC_09_50021E</v>
      </c>
      <c r="B239" t="s">
        <v>206</v>
      </c>
      <c r="C239">
        <v>3</v>
      </c>
    </row>
    <row r="240" spans="1:4" x14ac:dyDescent="0.3">
      <c r="A240" t="str">
        <f>VLOOKUP(B240,lookup[],2,FALSE)</f>
        <v>SC_10_50005E</v>
      </c>
      <c r="B240" t="s">
        <v>276</v>
      </c>
      <c r="D240" t="s">
        <v>2565</v>
      </c>
    </row>
    <row r="241" spans="1:4" x14ac:dyDescent="0.3">
      <c r="A241" t="str">
        <f>VLOOKUP(B241,lookup[],2,FALSE)</f>
        <v>SC_10_50050E</v>
      </c>
      <c r="B241" t="s">
        <v>296</v>
      </c>
      <c r="D241" t="s">
        <v>17</v>
      </c>
    </row>
    <row r="242" spans="1:4" x14ac:dyDescent="0.3">
      <c r="A242" t="str">
        <f>VLOOKUP(B242,lookup[],2,FALSE)</f>
        <v>SC_10_50061E</v>
      </c>
      <c r="B242" t="s">
        <v>312</v>
      </c>
      <c r="D242" t="s">
        <v>17</v>
      </c>
    </row>
    <row r="243" spans="1:4" x14ac:dyDescent="0.3">
      <c r="A243" t="str">
        <f>VLOOKUP(B243,lookup[],2,FALSE)</f>
        <v>SC_11_50012E</v>
      </c>
      <c r="B243" t="s">
        <v>698</v>
      </c>
      <c r="C243">
        <v>3</v>
      </c>
    </row>
    <row r="244" spans="1:4" x14ac:dyDescent="0.3">
      <c r="A244" t="str">
        <f>VLOOKUP(B244,lookup[],2,FALSE)</f>
        <v>SC_08_50017E</v>
      </c>
      <c r="B244" t="s">
        <v>174</v>
      </c>
      <c r="C244">
        <v>2</v>
      </c>
    </row>
    <row r="245" spans="1:4" x14ac:dyDescent="0.3">
      <c r="A245" t="str">
        <f>VLOOKUP(B245,lookup[],2,FALSE)</f>
        <v>SC_09_50006E</v>
      </c>
      <c r="B245" t="s">
        <v>184</v>
      </c>
      <c r="D245" t="s">
        <v>2565</v>
      </c>
    </row>
    <row r="246" spans="1:4" x14ac:dyDescent="0.3">
      <c r="A246" t="str">
        <f>VLOOKUP(B246,lookup[],2,FALSE)</f>
        <v>SC_09_50017E</v>
      </c>
      <c r="B246" t="s">
        <v>204</v>
      </c>
      <c r="C246">
        <v>3</v>
      </c>
      <c r="D246" t="s">
        <v>2565</v>
      </c>
    </row>
    <row r="247" spans="1:4" x14ac:dyDescent="0.3">
      <c r="A247" t="str">
        <f>VLOOKUP(B247,lookup[],2,FALSE)</f>
        <v>SC_10_50004E</v>
      </c>
      <c r="B247" t="s">
        <v>274</v>
      </c>
      <c r="C247">
        <v>3</v>
      </c>
    </row>
    <row r="248" spans="1:4" x14ac:dyDescent="0.3">
      <c r="A248" t="str">
        <f>VLOOKUP(B248,lookup[],2,FALSE)</f>
        <v>SC_10_50014E</v>
      </c>
      <c r="B248" t="s">
        <v>294</v>
      </c>
      <c r="C248">
        <v>2</v>
      </c>
    </row>
    <row r="249" spans="1:4" x14ac:dyDescent="0.3">
      <c r="A249" t="str">
        <f>VLOOKUP(B249,lookup[],2,FALSE)</f>
        <v>SC_10_50060E</v>
      </c>
      <c r="B249" t="s">
        <v>310</v>
      </c>
      <c r="C249">
        <v>2</v>
      </c>
      <c r="D249" t="s">
        <v>2565</v>
      </c>
    </row>
    <row r="250" spans="1:4" x14ac:dyDescent="0.3">
      <c r="A250" t="str">
        <f>VLOOKUP(B250,lookup[],2,FALSE)</f>
        <v>SC_11_50011E</v>
      </c>
      <c r="B250" t="s">
        <v>696</v>
      </c>
      <c r="D250" t="s">
        <v>2569</v>
      </c>
    </row>
    <row r="251" spans="1:4" x14ac:dyDescent="0.3">
      <c r="A251" t="str">
        <f>VLOOKUP(B251,lookup[],2,FALSE)</f>
        <v>SC_07_50058E</v>
      </c>
      <c r="B251" t="s">
        <v>164</v>
      </c>
      <c r="C251">
        <v>3</v>
      </c>
    </row>
    <row r="252" spans="1:4" x14ac:dyDescent="0.3">
      <c r="A252" t="str">
        <f>VLOOKUP(B252,lookup[],2,FALSE)</f>
        <v>SC_09_50005E</v>
      </c>
      <c r="B252" t="s">
        <v>182</v>
      </c>
      <c r="C252">
        <v>3</v>
      </c>
      <c r="D252" t="s">
        <v>2560</v>
      </c>
    </row>
    <row r="253" spans="1:4" x14ac:dyDescent="0.3">
      <c r="A253" t="str">
        <f>VLOOKUP(B253,lookup[],2,FALSE)</f>
        <v>SC_08_50016E</v>
      </c>
      <c r="B253" t="s">
        <v>172</v>
      </c>
      <c r="C253">
        <v>3</v>
      </c>
    </row>
    <row r="254" spans="1:4" x14ac:dyDescent="0.3">
      <c r="A254" t="str">
        <f>VLOOKUP(B254,lookup[],2,FALSE)</f>
        <v>SC_09_50016E</v>
      </c>
      <c r="B254" t="s">
        <v>202</v>
      </c>
      <c r="C254">
        <v>3</v>
      </c>
    </row>
    <row r="255" spans="1:4" x14ac:dyDescent="0.3">
      <c r="A255" t="str">
        <f>VLOOKUP(B255,lookup[],2,FALSE)</f>
        <v>SC_10_50003E</v>
      </c>
      <c r="B255" t="s">
        <v>272</v>
      </c>
      <c r="D255" t="s">
        <v>2565</v>
      </c>
    </row>
    <row r="256" spans="1:4" x14ac:dyDescent="0.3">
      <c r="A256" t="str">
        <f>VLOOKUP(B256,lookup[],2,FALSE)</f>
        <v>SC_10_50013E</v>
      </c>
      <c r="B256" t="s">
        <v>292</v>
      </c>
      <c r="C256">
        <v>3</v>
      </c>
    </row>
    <row r="257" spans="1:4" x14ac:dyDescent="0.3">
      <c r="A257" t="str">
        <f>VLOOKUP(B257,lookup[],2,FALSE)</f>
        <v>SC_10_50059E</v>
      </c>
      <c r="B257" t="s">
        <v>308</v>
      </c>
      <c r="C257">
        <v>4</v>
      </c>
    </row>
    <row r="258" spans="1:4" x14ac:dyDescent="0.3">
      <c r="A258" t="str">
        <f>VLOOKUP(B258,lookup[],2,FALSE)</f>
        <v>SC_14_50005E</v>
      </c>
      <c r="B258" t="s">
        <v>1228</v>
      </c>
      <c r="C258">
        <v>3</v>
      </c>
    </row>
    <row r="259" spans="1:4" x14ac:dyDescent="0.3">
      <c r="A259" t="str">
        <f>VLOOKUP(B259,lookup[],2,FALSE)</f>
        <v>SC_14_50006E</v>
      </c>
      <c r="B259" t="s">
        <v>1230</v>
      </c>
      <c r="C259">
        <v>4</v>
      </c>
    </row>
    <row r="260" spans="1:4" x14ac:dyDescent="0.3">
      <c r="A260" t="str">
        <f>VLOOKUP(B260,lookup[],2,FALSE)</f>
        <v>SC_14_50007E</v>
      </c>
      <c r="B260" t="s">
        <v>1232</v>
      </c>
      <c r="C260">
        <v>3</v>
      </c>
    </row>
    <row r="261" spans="1:4" x14ac:dyDescent="0.3">
      <c r="A261" t="str">
        <f>VLOOKUP(B261,lookup[],2,FALSE)</f>
        <v>SC_14_50008E</v>
      </c>
      <c r="B261" t="s">
        <v>1234</v>
      </c>
      <c r="C261">
        <v>3</v>
      </c>
    </row>
    <row r="262" spans="1:4" x14ac:dyDescent="0.3">
      <c r="A262" t="str">
        <f>VLOOKUP(B262,lookup[],2,FALSE)</f>
        <v>SC_14_50009E</v>
      </c>
      <c r="B262" t="s">
        <v>1236</v>
      </c>
      <c r="C262">
        <v>3</v>
      </c>
    </row>
    <row r="263" spans="1:4" x14ac:dyDescent="0.3">
      <c r="A263" t="str">
        <f>VLOOKUP(B263,lookup[],2,FALSE)</f>
        <v>SC_14_50023E</v>
      </c>
      <c r="B263" t="s">
        <v>1238</v>
      </c>
      <c r="C263">
        <v>4</v>
      </c>
    </row>
    <row r="264" spans="1:4" x14ac:dyDescent="0.3">
      <c r="A264" t="str">
        <f>VLOOKUP(B264,lookup[],2,FALSE)</f>
        <v>SC_14_50024E</v>
      </c>
      <c r="B264" t="s">
        <v>1240</v>
      </c>
      <c r="C264">
        <v>3</v>
      </c>
    </row>
    <row r="265" spans="1:4" x14ac:dyDescent="0.3">
      <c r="A265" t="str">
        <f>VLOOKUP(B265,lookup[],2,FALSE)</f>
        <v>SC_14_50025E</v>
      </c>
      <c r="B265" t="s">
        <v>1242</v>
      </c>
      <c r="C265">
        <v>3</v>
      </c>
    </row>
    <row r="266" spans="1:4" x14ac:dyDescent="0.3">
      <c r="A266" t="str">
        <f>VLOOKUP(B266,lookup[],2,FALSE)</f>
        <v>SC_14_50027E</v>
      </c>
      <c r="B266" t="s">
        <v>1244</v>
      </c>
      <c r="D266" t="s">
        <v>2568</v>
      </c>
    </row>
    <row r="267" spans="1:4" x14ac:dyDescent="0.3">
      <c r="A267" t="str">
        <f>VLOOKUP(B267,lookup[],2,FALSE)</f>
        <v>SC_14_50029E</v>
      </c>
      <c r="B267" t="s">
        <v>1246</v>
      </c>
      <c r="C267">
        <v>4</v>
      </c>
    </row>
    <row r="268" spans="1:4" x14ac:dyDescent="0.3">
      <c r="A268" t="str">
        <f>VLOOKUP(B268,lookup[],2,FALSE)</f>
        <v>SC_14_50032E</v>
      </c>
      <c r="B268" t="s">
        <v>1248</v>
      </c>
      <c r="C268">
        <v>3</v>
      </c>
    </row>
    <row r="269" spans="1:4" x14ac:dyDescent="0.3">
      <c r="A269" t="str">
        <f>VLOOKUP(B269,lookup[],2,FALSE)</f>
        <v>SC_14_50033E</v>
      </c>
      <c r="B269" t="s">
        <v>1250</v>
      </c>
      <c r="C269">
        <v>3</v>
      </c>
    </row>
    <row r="270" spans="1:4" x14ac:dyDescent="0.3">
      <c r="A270" t="str">
        <f>VLOOKUP(B270,lookup[],2,FALSE)</f>
        <v>SC_14_50034E</v>
      </c>
      <c r="B270" t="s">
        <v>1252</v>
      </c>
      <c r="C270">
        <v>3</v>
      </c>
    </row>
    <row r="271" spans="1:4" x14ac:dyDescent="0.3">
      <c r="A271" t="str">
        <f>VLOOKUP(B271,lookup[],2,FALSE)</f>
        <v>SC_14_50038E</v>
      </c>
      <c r="B271" t="s">
        <v>1254</v>
      </c>
      <c r="C271">
        <v>4</v>
      </c>
    </row>
    <row r="272" spans="1:4" x14ac:dyDescent="0.3">
      <c r="A272" t="str">
        <f>VLOOKUP(B272,lookup[],2,FALSE)</f>
        <v>SC_14_50039E</v>
      </c>
      <c r="B272" t="s">
        <v>1256</v>
      </c>
      <c r="C272">
        <v>3</v>
      </c>
    </row>
    <row r="273" spans="1:4" x14ac:dyDescent="0.3">
      <c r="A273" t="str">
        <f>VLOOKUP(B273,lookup[],2,FALSE)</f>
        <v>SC_14_50040E</v>
      </c>
      <c r="B273" t="s">
        <v>1258</v>
      </c>
      <c r="C273">
        <v>3</v>
      </c>
    </row>
    <row r="274" spans="1:4" x14ac:dyDescent="0.3">
      <c r="A274" t="str">
        <f>VLOOKUP(B274,lookup[],2,FALSE)</f>
        <v>SC_14_50041E</v>
      </c>
      <c r="B274" t="s">
        <v>1260</v>
      </c>
      <c r="C274">
        <v>3</v>
      </c>
    </row>
    <row r="275" spans="1:4" x14ac:dyDescent="0.3">
      <c r="A275" t="str">
        <f>VLOOKUP(B275,lookup[],2,FALSE)</f>
        <v>SC_14_50043E</v>
      </c>
      <c r="B275" t="s">
        <v>1262</v>
      </c>
      <c r="C275">
        <v>3</v>
      </c>
    </row>
    <row r="276" spans="1:4" x14ac:dyDescent="0.3">
      <c r="A276" t="str">
        <f>VLOOKUP(B276,lookup[],2,FALSE)</f>
        <v>SC_15_50004E</v>
      </c>
      <c r="B276" t="s">
        <v>1266</v>
      </c>
      <c r="C276">
        <v>3</v>
      </c>
    </row>
    <row r="277" spans="1:4" x14ac:dyDescent="0.3">
      <c r="A277" t="str">
        <f>VLOOKUP(B277,lookup[],2,FALSE)</f>
        <v>SC_15_50000E</v>
      </c>
      <c r="B277" t="s">
        <v>1264</v>
      </c>
      <c r="C277">
        <v>4</v>
      </c>
    </row>
    <row r="278" spans="1:4" x14ac:dyDescent="0.3">
      <c r="A278" t="str">
        <f>VLOOKUP(B278,lookup[],2,FALSE)</f>
        <v>SC_15_50010E</v>
      </c>
      <c r="B278" t="s">
        <v>1268</v>
      </c>
      <c r="C278">
        <v>4</v>
      </c>
    </row>
    <row r="279" spans="1:4" x14ac:dyDescent="0.3">
      <c r="A279" t="str">
        <f>VLOOKUP(B279,lookup[],2,FALSE)</f>
        <v>SC_11072019_261</v>
      </c>
      <c r="B279" t="s">
        <v>816</v>
      </c>
      <c r="C279">
        <v>3</v>
      </c>
    </row>
    <row r="280" spans="1:4" x14ac:dyDescent="0.3">
      <c r="A280" t="str">
        <f>VLOOKUP(B280,lookup[],2,FALSE)</f>
        <v>SC_05_50022E</v>
      </c>
      <c r="B280" t="s">
        <v>26</v>
      </c>
      <c r="C280">
        <v>3</v>
      </c>
    </row>
    <row r="281" spans="1:4" x14ac:dyDescent="0.3">
      <c r="A281" t="str">
        <f>VLOOKUP(B281,lookup[],2,FALSE)</f>
        <v>SC_05_50017E</v>
      </c>
      <c r="B281" t="s">
        <v>24</v>
      </c>
      <c r="C281">
        <v>3</v>
      </c>
    </row>
    <row r="282" spans="1:4" x14ac:dyDescent="0.3">
      <c r="A282" t="str">
        <f>VLOOKUP(B282,lookup[],2,FALSE)</f>
        <v>SC_05_50015E</v>
      </c>
      <c r="B282" t="s">
        <v>22</v>
      </c>
      <c r="C282">
        <v>4</v>
      </c>
    </row>
    <row r="283" spans="1:4" x14ac:dyDescent="0.3">
      <c r="A283" t="str">
        <f>VLOOKUP(B283,lookup[],2,FALSE)</f>
        <v>SC_05_50007E</v>
      </c>
      <c r="B283" t="s">
        <v>20</v>
      </c>
      <c r="C283">
        <v>3</v>
      </c>
    </row>
    <row r="284" spans="1:4" x14ac:dyDescent="0.3">
      <c r="A284" t="str">
        <f>VLOOKUP(B284,lookup[],2,FALSE)</f>
        <v>SC_06_50023E</v>
      </c>
      <c r="B284" t="s">
        <v>42</v>
      </c>
      <c r="C284">
        <v>2</v>
      </c>
    </row>
    <row r="285" spans="1:4" x14ac:dyDescent="0.3">
      <c r="A285" t="str">
        <f>VLOOKUP(B285,lookup[],2,FALSE)</f>
        <v>SC_05_50006E</v>
      </c>
      <c r="B285" t="s">
        <v>18</v>
      </c>
      <c r="D285" t="s">
        <v>2570</v>
      </c>
    </row>
    <row r="286" spans="1:4" x14ac:dyDescent="0.3">
      <c r="A286" t="str">
        <f>VLOOKUP(B286,lookup[],2,FALSE)</f>
        <v>SC_06_50020E</v>
      </c>
      <c r="B286" t="s">
        <v>40</v>
      </c>
      <c r="C286">
        <v>3</v>
      </c>
    </row>
    <row r="287" spans="1:4" x14ac:dyDescent="0.3">
      <c r="A287" t="str">
        <f>VLOOKUP(B287,lookup[],2,FALSE)</f>
        <v>SC_06_50019E</v>
      </c>
      <c r="B287" t="s">
        <v>38</v>
      </c>
      <c r="C287">
        <v>2</v>
      </c>
      <c r="D287" t="s">
        <v>2558</v>
      </c>
    </row>
    <row r="288" spans="1:4" x14ac:dyDescent="0.3">
      <c r="A288" t="str">
        <f>VLOOKUP(B288,lookup[],2,FALSE)</f>
        <v>SC_06_50018E</v>
      </c>
      <c r="B288" t="s">
        <v>36</v>
      </c>
      <c r="C288">
        <v>2</v>
      </c>
    </row>
    <row r="289" spans="1:4" x14ac:dyDescent="0.3">
      <c r="A289" t="str">
        <f>VLOOKUP(B289,lookup[],2,FALSE)</f>
        <v>SC_06_50017E</v>
      </c>
      <c r="B289" t="s">
        <v>34</v>
      </c>
      <c r="C289">
        <v>3</v>
      </c>
      <c r="D289" t="s">
        <v>2558</v>
      </c>
    </row>
    <row r="290" spans="1:4" x14ac:dyDescent="0.3">
      <c r="A290" t="str">
        <f>VLOOKUP(B290,lookup[],2,FALSE)</f>
        <v>SC_06_50015E</v>
      </c>
      <c r="B290" t="s">
        <v>30</v>
      </c>
      <c r="C290">
        <v>3</v>
      </c>
    </row>
    <row r="291" spans="1:4" x14ac:dyDescent="0.3">
      <c r="A291" t="str">
        <f>VLOOKUP(B291,lookup[],2,FALSE)</f>
        <v>SC_06_50016E</v>
      </c>
      <c r="B291" t="s">
        <v>32</v>
      </c>
      <c r="D291" t="s">
        <v>17</v>
      </c>
    </row>
    <row r="292" spans="1:4" x14ac:dyDescent="0.3">
      <c r="A292" t="str">
        <f>VLOOKUP(B292,lookup[],2,FALSE)</f>
        <v>SC_06_50012E</v>
      </c>
      <c r="B292" t="s">
        <v>28</v>
      </c>
      <c r="D292" t="s">
        <v>17</v>
      </c>
    </row>
    <row r="293" spans="1:4" x14ac:dyDescent="0.3">
      <c r="A293" t="str">
        <f>VLOOKUP(B293,lookup[],2,FALSE)</f>
        <v>SC_06_50024E</v>
      </c>
      <c r="B293" t="s">
        <v>44</v>
      </c>
      <c r="C293">
        <v>3</v>
      </c>
    </row>
    <row r="294" spans="1:4" x14ac:dyDescent="0.3">
      <c r="A294" t="str">
        <f>VLOOKUP(B294,lookup[],2,FALSE)</f>
        <v>SC_06_50025E</v>
      </c>
      <c r="B294" t="s">
        <v>46</v>
      </c>
      <c r="C294">
        <v>3</v>
      </c>
      <c r="D294" t="s">
        <v>2558</v>
      </c>
    </row>
    <row r="295" spans="1:4" x14ac:dyDescent="0.3">
      <c r="A295" t="str">
        <f>VLOOKUP(B295,lookup[],2,FALSE)</f>
        <v>SC_06_50026E</v>
      </c>
      <c r="B295" t="s">
        <v>48</v>
      </c>
      <c r="C295">
        <v>4</v>
      </c>
    </row>
    <row r="296" spans="1:4" x14ac:dyDescent="0.3">
      <c r="A296" t="str">
        <f>VLOOKUP(B296,lookup[],2,FALSE)</f>
        <v>SC_06_50027E</v>
      </c>
      <c r="B296" t="s">
        <v>50</v>
      </c>
      <c r="C296">
        <v>3</v>
      </c>
    </row>
    <row r="297" spans="1:4" x14ac:dyDescent="0.3">
      <c r="A297" t="str">
        <f>VLOOKUP(B297,lookup[],2,FALSE)</f>
        <v>SC_06_50028E</v>
      </c>
      <c r="B297" t="s">
        <v>52</v>
      </c>
      <c r="C297">
        <v>3</v>
      </c>
    </row>
    <row r="298" spans="1:4" x14ac:dyDescent="0.3">
      <c r="A298" t="str">
        <f>VLOOKUP(B298,lookup[],2,FALSE)</f>
        <v>SC_06_50029E</v>
      </c>
      <c r="B298" t="s">
        <v>54</v>
      </c>
      <c r="C298">
        <v>3</v>
      </c>
    </row>
    <row r="299" spans="1:4" x14ac:dyDescent="0.3">
      <c r="A299" t="str">
        <f>VLOOKUP(B299,lookup[],2,FALSE)</f>
        <v>SC_06_50030E</v>
      </c>
      <c r="B299" t="s">
        <v>56</v>
      </c>
      <c r="C299">
        <v>3</v>
      </c>
    </row>
    <row r="300" spans="1:4" x14ac:dyDescent="0.3">
      <c r="A300" t="str">
        <f>VLOOKUP(B300,lookup[],2,FALSE)</f>
        <v>SC_06_50031E</v>
      </c>
      <c r="B300" t="s">
        <v>58</v>
      </c>
      <c r="C300">
        <v>3</v>
      </c>
    </row>
    <row r="301" spans="1:4" x14ac:dyDescent="0.3">
      <c r="A301" t="str">
        <f>VLOOKUP(B301,lookup[],2,FALSE)</f>
        <v>SC_06_50032E</v>
      </c>
      <c r="B301" t="s">
        <v>60</v>
      </c>
      <c r="C301">
        <v>2</v>
      </c>
    </row>
    <row r="302" spans="1:4" x14ac:dyDescent="0.3">
      <c r="A302" t="str">
        <f>VLOOKUP(B302,lookup[],2,FALSE)</f>
        <v>SC_06_50033E</v>
      </c>
      <c r="B302" t="s">
        <v>62</v>
      </c>
      <c r="C302">
        <v>2</v>
      </c>
    </row>
    <row r="303" spans="1:4" x14ac:dyDescent="0.3">
      <c r="A303" t="str">
        <f>VLOOKUP(B303,lookup[],2,FALSE)</f>
        <v>SC_06_50034E</v>
      </c>
      <c r="B303" t="s">
        <v>64</v>
      </c>
      <c r="C303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25DC-7690-41D5-85BC-FD5B8AD3252A}">
  <dimension ref="A1:M303"/>
  <sheetViews>
    <sheetView tabSelected="1" workbookViewId="0">
      <selection activeCell="C1" sqref="C1:C1048576"/>
    </sheetView>
  </sheetViews>
  <sheetFormatPr defaultRowHeight="14.4" x14ac:dyDescent="0.3"/>
  <cols>
    <col min="1" max="1" width="12.6640625" bestFit="1" customWidth="1"/>
    <col min="6" max="6" width="6.33203125" customWidth="1"/>
    <col min="7" max="7" width="29" bestFit="1" customWidth="1"/>
    <col min="11" max="11" width="9.109375" bestFit="1" customWidth="1"/>
  </cols>
  <sheetData>
    <row r="1" spans="1:13" x14ac:dyDescent="0.3">
      <c r="A1" t="s">
        <v>6</v>
      </c>
      <c r="B1" t="s">
        <v>7</v>
      </c>
      <c r="C1" t="s">
        <v>2593</v>
      </c>
      <c r="D1" t="s">
        <v>8</v>
      </c>
      <c r="E1" t="s">
        <v>2597</v>
      </c>
      <c r="G1" t="s">
        <v>9</v>
      </c>
      <c r="H1" t="s">
        <v>2573</v>
      </c>
    </row>
    <row r="2" spans="1:13" x14ac:dyDescent="0.3">
      <c r="A2" t="str">
        <f>VLOOKUP(B2,lookup[],2,FALSE)</f>
        <v>SC_06_50035E</v>
      </c>
      <c r="B2" t="s">
        <v>0</v>
      </c>
      <c r="C2">
        <f>VLOOKUP(A2,sr[],2,FALSE)</f>
        <v>2006</v>
      </c>
      <c r="D2">
        <v>3</v>
      </c>
      <c r="F2" t="s">
        <v>2571</v>
      </c>
      <c r="H2" t="str" cm="1">
        <f t="array" ref="H2">_xlfn.IFS(D2=E2,"x",ISBLANK(E2),"Blank", ISBLANK(D2), "Blank")</f>
        <v>Blank</v>
      </c>
    </row>
    <row r="3" spans="1:13" x14ac:dyDescent="0.3">
      <c r="A3" t="str">
        <f>VLOOKUP(B3,lookup[],2,FALSE)</f>
        <v>SC_06_50036E</v>
      </c>
      <c r="B3" t="s">
        <v>1</v>
      </c>
      <c r="C3">
        <f>VLOOKUP(A3,sr[],2,FALSE)</f>
        <v>2006</v>
      </c>
      <c r="D3">
        <v>4</v>
      </c>
      <c r="E3">
        <v>4</v>
      </c>
      <c r="F3" t="s">
        <v>2571</v>
      </c>
      <c r="H3" t="str" cm="1">
        <f t="array" ref="H3">_xlfn.IFS(D3=E3,"x",ISBLANK(E3),"Blank", ISBLANK(D3), "Blank")</f>
        <v>x</v>
      </c>
    </row>
    <row r="4" spans="1:13" ht="15" thickBot="1" x14ac:dyDescent="0.35">
      <c r="A4" t="str">
        <f>VLOOKUP(B4,lookup[],2,FALSE)</f>
        <v>SC_06_50037E</v>
      </c>
      <c r="B4" t="s">
        <v>2</v>
      </c>
      <c r="C4">
        <f>VLOOKUP(A4,sr[],2,FALSE)</f>
        <v>2006</v>
      </c>
      <c r="D4">
        <v>2</v>
      </c>
      <c r="E4">
        <v>3</v>
      </c>
      <c r="F4" t="s">
        <v>2571</v>
      </c>
      <c r="G4" t="s">
        <v>10</v>
      </c>
      <c r="H4" t="str" cm="1">
        <f t="array" ref="H4">_xlfn.IFS(D4=E4,"x",ISBLANK(E4),"Blank", ISBLANK(D4), "Blank",D4&lt;&gt;E4," ")</f>
        <v xml:space="preserve"> </v>
      </c>
    </row>
    <row r="5" spans="1:13" x14ac:dyDescent="0.3">
      <c r="A5" t="str">
        <f>VLOOKUP(B5,lookup[],2,FALSE)</f>
        <v>SC_06_50040E</v>
      </c>
      <c r="B5" t="s">
        <v>3</v>
      </c>
      <c r="C5">
        <f>VLOOKUP(A5,sr[],2,FALSE)</f>
        <v>2006</v>
      </c>
      <c r="D5">
        <v>2</v>
      </c>
      <c r="E5">
        <v>2</v>
      </c>
      <c r="F5" t="s">
        <v>2571</v>
      </c>
      <c r="H5" t="str" cm="1">
        <f t="array" ref="H5">_xlfn.IFS(D5=E5,"x",ISBLANK(E5),"Blank", ISBLANK(D5), "Blank",D5&lt;&gt;E5," ")</f>
        <v>x</v>
      </c>
      <c r="J5" s="6" t="s">
        <v>2579</v>
      </c>
      <c r="K5" s="7"/>
      <c r="L5" s="7"/>
      <c r="M5" s="8"/>
    </row>
    <row r="6" spans="1:13" x14ac:dyDescent="0.3">
      <c r="A6" t="str">
        <f>VLOOKUP(B6,lookup[],2,FALSE)</f>
        <v>SC_06_50042E</v>
      </c>
      <c r="B6" t="s">
        <v>4</v>
      </c>
      <c r="C6">
        <f>VLOOKUP(A6,sr[],2,FALSE)</f>
        <v>2006</v>
      </c>
      <c r="D6">
        <v>3</v>
      </c>
      <c r="E6">
        <v>3</v>
      </c>
      <c r="F6" t="s">
        <v>2571</v>
      </c>
      <c r="H6" t="str" cm="1">
        <f t="array" ref="H6">_xlfn.IFS(D6=E6,"x",ISBLANK(E6),"Blank", ISBLANK(D6), "Blank",D6&lt;&gt;E6," ")</f>
        <v>x</v>
      </c>
      <c r="J6" s="1"/>
      <c r="M6" s="2"/>
    </row>
    <row r="7" spans="1:13" x14ac:dyDescent="0.3">
      <c r="A7" t="str">
        <f>VLOOKUP(B7,lookup[],2,FALSE)</f>
        <v>SC_06_50044E</v>
      </c>
      <c r="B7" t="s">
        <v>5</v>
      </c>
      <c r="C7">
        <f>VLOOKUP(A7,sr[],2,FALSE)</f>
        <v>2006</v>
      </c>
      <c r="D7">
        <v>3</v>
      </c>
      <c r="E7">
        <v>3</v>
      </c>
      <c r="F7" t="s">
        <v>2571</v>
      </c>
      <c r="H7" t="str" cm="1">
        <f t="array" ref="H7">_xlfn.IFS(D7=E7,"x",ISBLANK(E7),"Blank", ISBLANK(D7), "Blank",D7&lt;&gt;E7," ")</f>
        <v>x</v>
      </c>
      <c r="J7" s="1" t="s">
        <v>2574</v>
      </c>
      <c r="K7">
        <f>COUNTIF(H:H,"x")</f>
        <v>186</v>
      </c>
      <c r="L7" t="s">
        <v>2575</v>
      </c>
      <c r="M7" s="2">
        <f>SUM(COUNTIF(H:H,"x"),COUNTIF(H:H," "))</f>
        <v>244</v>
      </c>
    </row>
    <row r="8" spans="1:13" x14ac:dyDescent="0.3">
      <c r="A8" t="str">
        <f>VLOOKUP(B8,lookup[],2,FALSE)</f>
        <v>SC_06_50045E</v>
      </c>
      <c r="B8" t="s">
        <v>11</v>
      </c>
      <c r="C8">
        <f>VLOOKUP(A8,sr[],2,FALSE)</f>
        <v>2006</v>
      </c>
      <c r="E8">
        <v>3</v>
      </c>
      <c r="F8" t="s">
        <v>2571</v>
      </c>
      <c r="G8" t="s">
        <v>17</v>
      </c>
      <c r="H8" t="str" cm="1">
        <f t="array" ref="H8">_xlfn.IFS(D8=E8,"x",ISBLANK(E8),"Blank", ISBLANK(D8), "Blank",D8&lt;&gt;E8," ")</f>
        <v>Blank</v>
      </c>
      <c r="J8" s="1"/>
      <c r="M8" s="2"/>
    </row>
    <row r="9" spans="1:13" x14ac:dyDescent="0.3">
      <c r="A9" t="str">
        <f>VLOOKUP(B9,lookup[],2,FALSE)</f>
        <v>SC_06_50046E</v>
      </c>
      <c r="B9" t="s">
        <v>12</v>
      </c>
      <c r="C9">
        <f>VLOOKUP(A9,sr[],2,FALSE)</f>
        <v>2006</v>
      </c>
      <c r="D9">
        <v>4</v>
      </c>
      <c r="E9">
        <v>3</v>
      </c>
      <c r="F9" t="s">
        <v>2571</v>
      </c>
      <c r="H9" t="str" cm="1">
        <f t="array" ref="H9">_xlfn.IFS(D9=E9,"x",ISBLANK(E9),"Blank", ISBLANK(D9), "Blank",D9&lt;&gt;E9," ")</f>
        <v xml:space="preserve"> </v>
      </c>
      <c r="J9" s="1" t="s">
        <v>2576</v>
      </c>
      <c r="K9" s="12">
        <f>199/257</f>
        <v>0.77431906614785995</v>
      </c>
      <c r="M9" s="2"/>
    </row>
    <row r="10" spans="1:13" x14ac:dyDescent="0.3">
      <c r="A10" t="str">
        <f>VLOOKUP(B10,lookup[],2,FALSE)</f>
        <v>SC_06_50047E</v>
      </c>
      <c r="B10" t="s">
        <v>13</v>
      </c>
      <c r="C10">
        <f>VLOOKUP(A10,sr[],2,FALSE)</f>
        <v>2006</v>
      </c>
      <c r="D10">
        <v>4</v>
      </c>
      <c r="E10">
        <v>4</v>
      </c>
      <c r="F10" t="s">
        <v>2571</v>
      </c>
      <c r="H10" t="str" cm="1">
        <f t="array" ref="H10">_xlfn.IFS(D10=E10,"x",ISBLANK(E10),"Blank", ISBLANK(D10), "Blank",D10&lt;&gt;E10," ")</f>
        <v>x</v>
      </c>
      <c r="J10" s="1"/>
      <c r="M10" s="2"/>
    </row>
    <row r="11" spans="1:13" x14ac:dyDescent="0.3">
      <c r="A11" t="str">
        <f>VLOOKUP(B11,lookup[],2,FALSE)</f>
        <v>SC_06_50048E</v>
      </c>
      <c r="B11" t="s">
        <v>14</v>
      </c>
      <c r="C11">
        <f>VLOOKUP(A11,sr[],2,FALSE)</f>
        <v>2006</v>
      </c>
      <c r="D11">
        <v>3</v>
      </c>
      <c r="E11">
        <v>3</v>
      </c>
      <c r="F11" t="s">
        <v>2571</v>
      </c>
      <c r="H11" t="str" cm="1">
        <f t="array" ref="H11">_xlfn.IFS(D11=E11,"x",ISBLANK(E11),"Blank", ISBLANK(D11), "Blank",D11&lt;&gt;E11," ")</f>
        <v>x</v>
      </c>
      <c r="J11" s="9" t="s">
        <v>2577</v>
      </c>
      <c r="K11" s="10"/>
      <c r="L11" s="10"/>
      <c r="M11" s="11"/>
    </row>
    <row r="12" spans="1:13" x14ac:dyDescent="0.3">
      <c r="A12" t="str">
        <f>VLOOKUP(B12,lookup[],2,FALSE)</f>
        <v>SC_06_50051E</v>
      </c>
      <c r="B12" t="s">
        <v>15</v>
      </c>
      <c r="C12">
        <f>VLOOKUP(A12,sr[],2,FALSE)</f>
        <v>2006</v>
      </c>
      <c r="D12">
        <v>3</v>
      </c>
      <c r="E12">
        <v>3</v>
      </c>
      <c r="F12" t="s">
        <v>2571</v>
      </c>
      <c r="H12" t="str" cm="1">
        <f t="array" ref="H12">_xlfn.IFS(D12=E12,"x",ISBLANK(E12),"Blank", ISBLANK(D12), "Blank",D12&lt;&gt;E12," ")</f>
        <v>x</v>
      </c>
      <c r="J12" s="1"/>
      <c r="M12" s="2"/>
    </row>
    <row r="13" spans="1:13" x14ac:dyDescent="0.3">
      <c r="A13" t="str">
        <f>VLOOKUP(B13,lookup[],2,FALSE)</f>
        <v>SC_06_50052E</v>
      </c>
      <c r="B13" t="s">
        <v>16</v>
      </c>
      <c r="C13">
        <f>VLOOKUP(A13,sr[],2,FALSE)</f>
        <v>2006</v>
      </c>
      <c r="D13">
        <v>3</v>
      </c>
      <c r="E13">
        <v>3</v>
      </c>
      <c r="F13" t="s">
        <v>2571</v>
      </c>
      <c r="H13" t="str" cm="1">
        <f t="array" ref="H13">_xlfn.IFS(D13=E13,"x",ISBLANK(E13),"Blank", ISBLANK(D13), "Blank",D13&lt;&gt;E13," ")</f>
        <v>x</v>
      </c>
      <c r="J13" s="1" t="s">
        <v>2574</v>
      </c>
      <c r="K13">
        <f>COUNTIF(H:H,"x")</f>
        <v>186</v>
      </c>
      <c r="L13" t="s">
        <v>2575</v>
      </c>
      <c r="M13" s="2">
        <f>SUM(COUNTIF(H:H,"x"),COUNTIF(H:H," "))</f>
        <v>244</v>
      </c>
    </row>
    <row r="14" spans="1:13" x14ac:dyDescent="0.3">
      <c r="A14" t="str">
        <f>VLOOKUP(B14,lookup[],2,FALSE)</f>
        <v>SC_06_50053E</v>
      </c>
      <c r="B14" t="s">
        <v>78</v>
      </c>
      <c r="C14">
        <f>VLOOKUP(A14,sr[],2,FALSE)</f>
        <v>2006</v>
      </c>
      <c r="D14">
        <v>3</v>
      </c>
      <c r="E14">
        <v>3</v>
      </c>
      <c r="F14" t="s">
        <v>2571</v>
      </c>
      <c r="H14" t="str" cm="1">
        <f t="array" ref="H14">_xlfn.IFS(D14=E14,"x",ISBLANK(E14),"Blank", ISBLANK(D14), "Blank",D14&lt;&gt;E14," ")</f>
        <v>x</v>
      </c>
      <c r="J14" s="1"/>
      <c r="L14" t="s">
        <v>2578</v>
      </c>
      <c r="M14" s="2">
        <f>COUNTIFS(H:H," ", G:G,"*")</f>
        <v>11</v>
      </c>
    </row>
    <row r="15" spans="1:13" x14ac:dyDescent="0.3">
      <c r="A15" t="str">
        <f>VLOOKUP(B15,lookup[],2,FALSE)</f>
        <v>SC_06_50054E</v>
      </c>
      <c r="B15" t="s">
        <v>80</v>
      </c>
      <c r="C15">
        <f>VLOOKUP(A15,sr[],2,FALSE)</f>
        <v>2006</v>
      </c>
      <c r="D15">
        <v>2</v>
      </c>
      <c r="E15">
        <v>3</v>
      </c>
      <c r="F15" t="s">
        <v>2571</v>
      </c>
      <c r="G15" t="s">
        <v>2558</v>
      </c>
      <c r="H15" t="str" cm="1">
        <f t="array" ref="H15">_xlfn.IFS(D15=E15,"x",ISBLANK(E15),"Blank", ISBLANK(D15), "Blank",D15&lt;&gt;E15," ")</f>
        <v xml:space="preserve"> </v>
      </c>
      <c r="J15" s="1"/>
      <c r="M15" s="2">
        <v>233</v>
      </c>
    </row>
    <row r="16" spans="1:13" ht="15" thickBot="1" x14ac:dyDescent="0.35">
      <c r="A16" t="str">
        <f>VLOOKUP(B16,lookup[],2,FALSE)</f>
        <v>SC_06_50100E</v>
      </c>
      <c r="B16" t="s">
        <v>82</v>
      </c>
      <c r="C16">
        <f>VLOOKUP(A16,sr[],2,FALSE)</f>
        <v>2006</v>
      </c>
      <c r="D16">
        <v>3</v>
      </c>
      <c r="E16">
        <v>3</v>
      </c>
      <c r="F16" t="s">
        <v>2571</v>
      </c>
      <c r="H16" t="str" cm="1">
        <f t="array" ref="H16">_xlfn.IFS(D16=E16,"x",ISBLANK(E16),"Blank", ISBLANK(D16), "Blank",D16&lt;&gt;E16," ")</f>
        <v>x</v>
      </c>
      <c r="J16" s="3" t="s">
        <v>2576</v>
      </c>
      <c r="K16" s="13">
        <f>K13/M15</f>
        <v>0.79828326180257514</v>
      </c>
      <c r="L16" s="4"/>
      <c r="M16" s="5"/>
    </row>
    <row r="17" spans="1:8" x14ac:dyDescent="0.3">
      <c r="A17" t="str">
        <f>VLOOKUP(B17,lookup[],2,FALSE)</f>
        <v>SC_06_50101E</v>
      </c>
      <c r="B17" t="s">
        <v>84</v>
      </c>
      <c r="C17">
        <f>VLOOKUP(A17,sr[],2,FALSE)</f>
        <v>2006</v>
      </c>
      <c r="D17">
        <v>3</v>
      </c>
      <c r="E17">
        <v>3</v>
      </c>
      <c r="F17" t="s">
        <v>2571</v>
      </c>
      <c r="H17" t="str" cm="1">
        <f t="array" ref="H17">_xlfn.IFS(D17=E17,"x",ISBLANK(E17),"Blank", ISBLANK(D17), "Blank",D17&lt;&gt;E17," ")</f>
        <v>x</v>
      </c>
    </row>
    <row r="18" spans="1:8" x14ac:dyDescent="0.3">
      <c r="A18" t="str">
        <f>VLOOKUP(B18,lookup[],2,FALSE)</f>
        <v>SC_06_50102E</v>
      </c>
      <c r="B18" t="s">
        <v>86</v>
      </c>
      <c r="C18">
        <f>VLOOKUP(A18,sr[],2,FALSE)</f>
        <v>2006</v>
      </c>
      <c r="D18">
        <v>4</v>
      </c>
      <c r="E18">
        <v>3</v>
      </c>
      <c r="F18" t="s">
        <v>2571</v>
      </c>
      <c r="H18" t="str" cm="1">
        <f t="array" ref="H18">_xlfn.IFS(D18=E18,"x",ISBLANK(E18),"Blank", ISBLANK(D18), "Blank",D18&lt;&gt;E18," ")</f>
        <v xml:space="preserve"> </v>
      </c>
    </row>
    <row r="19" spans="1:8" x14ac:dyDescent="0.3">
      <c r="A19" t="str">
        <f>VLOOKUP(B19,lookup[],2,FALSE)</f>
        <v>SC_06_50103E</v>
      </c>
      <c r="B19" t="s">
        <v>88</v>
      </c>
      <c r="C19" t="e">
        <f>VLOOKUP(A19,sr[],2,FALSE)</f>
        <v>#N/A</v>
      </c>
      <c r="D19">
        <v>3</v>
      </c>
      <c r="E19">
        <v>3</v>
      </c>
      <c r="F19" t="s">
        <v>2571</v>
      </c>
      <c r="H19" t="str" cm="1">
        <f t="array" ref="H19">_xlfn.IFS(D19=E19,"x",ISBLANK(E19),"Blank", ISBLANK(D19), "Blank",D19&lt;&gt;E19," ")</f>
        <v>x</v>
      </c>
    </row>
    <row r="20" spans="1:8" x14ac:dyDescent="0.3">
      <c r="A20" t="str">
        <f>VLOOKUP(B20,lookup[],2,FALSE)</f>
        <v>SC_07_50003E</v>
      </c>
      <c r="B20" t="s">
        <v>90</v>
      </c>
      <c r="C20" t="e">
        <f>VLOOKUP(A20,sr[],2,FALSE)</f>
        <v>#N/A</v>
      </c>
      <c r="E20">
        <v>1</v>
      </c>
      <c r="F20" t="s">
        <v>2571</v>
      </c>
      <c r="G20" t="s">
        <v>2559</v>
      </c>
      <c r="H20" t="str" cm="1">
        <f t="array" ref="H20">_xlfn.IFS(D20=E20,"x",ISBLANK(E20),"Blank", ISBLANK(D20), "Blank",D20&lt;&gt;E20," ")</f>
        <v>Blank</v>
      </c>
    </row>
    <row r="21" spans="1:8" x14ac:dyDescent="0.3">
      <c r="A21" t="str">
        <f>VLOOKUP(B21,lookup[],2,FALSE)</f>
        <v>SC_07_50005E</v>
      </c>
      <c r="B21" t="s">
        <v>92</v>
      </c>
      <c r="C21">
        <f>VLOOKUP(A21,sr[],2,FALSE)</f>
        <v>2007</v>
      </c>
      <c r="D21">
        <v>3</v>
      </c>
      <c r="E21">
        <v>3</v>
      </c>
      <c r="F21" t="s">
        <v>2571</v>
      </c>
      <c r="G21" t="s">
        <v>2558</v>
      </c>
      <c r="H21" t="str" cm="1">
        <f t="array" ref="H21">_xlfn.IFS(D21=E21,"x",ISBLANK(E21),"Blank", ISBLANK(D21), "Blank",D21&lt;&gt;E21," ")</f>
        <v>x</v>
      </c>
    </row>
    <row r="22" spans="1:8" x14ac:dyDescent="0.3">
      <c r="A22" t="str">
        <f>VLOOKUP(B22,lookup[],2,FALSE)</f>
        <v>SC_07_50006E</v>
      </c>
      <c r="B22" t="s">
        <v>94</v>
      </c>
      <c r="C22">
        <f>VLOOKUP(A22,sr[],2,FALSE)</f>
        <v>2007</v>
      </c>
      <c r="D22">
        <v>2</v>
      </c>
      <c r="E22">
        <v>2</v>
      </c>
      <c r="F22" t="s">
        <v>2571</v>
      </c>
      <c r="H22" t="str" cm="1">
        <f t="array" ref="H22">_xlfn.IFS(D22=E22,"x",ISBLANK(E22),"Blank", ISBLANK(D22), "Blank",D22&lt;&gt;E22," ")</f>
        <v>x</v>
      </c>
    </row>
    <row r="23" spans="1:8" x14ac:dyDescent="0.3">
      <c r="A23" t="str">
        <f>VLOOKUP(B23,lookup[],2,FALSE)</f>
        <v>SC_07_50007E</v>
      </c>
      <c r="B23" t="s">
        <v>96</v>
      </c>
      <c r="C23">
        <f>VLOOKUP(A23,sr[],2,FALSE)</f>
        <v>2007</v>
      </c>
      <c r="D23">
        <v>3</v>
      </c>
      <c r="E23">
        <v>3</v>
      </c>
      <c r="F23" t="s">
        <v>2571</v>
      </c>
      <c r="H23" t="str" cm="1">
        <f t="array" ref="H23">_xlfn.IFS(D23=E23,"x",ISBLANK(E23),"Blank", ISBLANK(D23), "Blank",D23&lt;&gt;E23," ")</f>
        <v>x</v>
      </c>
    </row>
    <row r="24" spans="1:8" x14ac:dyDescent="0.3">
      <c r="A24" t="str">
        <f>VLOOKUP(B24,lookup[],2,FALSE)</f>
        <v>SC_07_50009E</v>
      </c>
      <c r="B24" t="s">
        <v>98</v>
      </c>
      <c r="C24">
        <f>VLOOKUP(A24,sr[],2,FALSE)</f>
        <v>2007</v>
      </c>
      <c r="D24">
        <v>4</v>
      </c>
      <c r="E24">
        <v>4</v>
      </c>
      <c r="F24" t="s">
        <v>2571</v>
      </c>
      <c r="H24" t="str" cm="1">
        <f t="array" ref="H24">_xlfn.IFS(D24=E24,"x",ISBLANK(E24),"Blank", ISBLANK(D24), "Blank",D24&lt;&gt;E24," ")</f>
        <v>x</v>
      </c>
    </row>
    <row r="25" spans="1:8" x14ac:dyDescent="0.3">
      <c r="A25" t="str">
        <f>VLOOKUP(B25,lookup[],2,FALSE)</f>
        <v>SC_07_50010E</v>
      </c>
      <c r="B25" t="s">
        <v>100</v>
      </c>
      <c r="C25" t="e">
        <f>VLOOKUP(A25,sr[],2,FALSE)</f>
        <v>#N/A</v>
      </c>
      <c r="E25">
        <v>1</v>
      </c>
      <c r="F25" t="s">
        <v>2571</v>
      </c>
      <c r="G25" t="s">
        <v>2559</v>
      </c>
      <c r="H25" t="str" cm="1">
        <f t="array" ref="H25">_xlfn.IFS(D25=E25,"x",ISBLANK(E25),"Blank", ISBLANK(D25), "Blank",D25&lt;&gt;E25," ")</f>
        <v>Blank</v>
      </c>
    </row>
    <row r="26" spans="1:8" x14ac:dyDescent="0.3">
      <c r="A26" t="str">
        <f>VLOOKUP(B26,lookup[],2,FALSE)</f>
        <v>SC_07_50015E</v>
      </c>
      <c r="B26" t="s">
        <v>102</v>
      </c>
      <c r="C26">
        <f>VLOOKUP(A26,sr[],2,FALSE)</f>
        <v>2007</v>
      </c>
      <c r="D26">
        <v>3</v>
      </c>
      <c r="E26">
        <v>3</v>
      </c>
      <c r="F26" t="s">
        <v>2571</v>
      </c>
      <c r="H26" t="str" cm="1">
        <f t="array" ref="H26">_xlfn.IFS(D26=E26,"x",ISBLANK(E26),"Blank", ISBLANK(D26), "Blank",D26&lt;&gt;E26," ")</f>
        <v>x</v>
      </c>
    </row>
    <row r="27" spans="1:8" x14ac:dyDescent="0.3">
      <c r="A27" t="str">
        <f>VLOOKUP(B27,lookup[],2,FALSE)</f>
        <v>SC_07_50016E</v>
      </c>
      <c r="B27" t="s">
        <v>104</v>
      </c>
      <c r="C27">
        <f>VLOOKUP(A27,sr[],2,FALSE)</f>
        <v>2007</v>
      </c>
      <c r="D27">
        <v>3</v>
      </c>
      <c r="E27">
        <v>3</v>
      </c>
      <c r="F27" t="s">
        <v>2571</v>
      </c>
      <c r="H27" t="str" cm="1">
        <f t="array" ref="H27">_xlfn.IFS(D27=E27,"x",ISBLANK(E27),"Blank", ISBLANK(D27), "Blank",D27&lt;&gt;E27," ")</f>
        <v>x</v>
      </c>
    </row>
    <row r="28" spans="1:8" x14ac:dyDescent="0.3">
      <c r="A28" t="str">
        <f>VLOOKUP(B28,lookup[],2,FALSE)</f>
        <v>SC_07_50017E</v>
      </c>
      <c r="B28" t="s">
        <v>106</v>
      </c>
      <c r="C28">
        <f>VLOOKUP(A28,sr[],2,FALSE)</f>
        <v>2007</v>
      </c>
      <c r="D28">
        <v>3</v>
      </c>
      <c r="E28">
        <v>3</v>
      </c>
      <c r="F28" t="s">
        <v>2571</v>
      </c>
      <c r="H28" t="str" cm="1">
        <f t="array" ref="H28">_xlfn.IFS(D28=E28,"x",ISBLANK(E28),"Blank", ISBLANK(D28), "Blank",D28&lt;&gt;E28," ")</f>
        <v>x</v>
      </c>
    </row>
    <row r="29" spans="1:8" x14ac:dyDescent="0.3">
      <c r="A29" t="str">
        <f>VLOOKUP(B29,lookup[],2,FALSE)</f>
        <v>SC_07_50018E</v>
      </c>
      <c r="B29" t="s">
        <v>108</v>
      </c>
      <c r="C29">
        <f>VLOOKUP(A29,sr[],2,FALSE)</f>
        <v>2007</v>
      </c>
      <c r="D29">
        <v>3</v>
      </c>
      <c r="E29">
        <v>3</v>
      </c>
      <c r="F29" t="s">
        <v>2571</v>
      </c>
      <c r="G29" t="s">
        <v>2558</v>
      </c>
      <c r="H29" t="str" cm="1">
        <f t="array" ref="H29">_xlfn.IFS(D29=E29,"x",ISBLANK(E29),"Blank", ISBLANK(D29), "Blank",D29&lt;&gt;E29," ")</f>
        <v>x</v>
      </c>
    </row>
    <row r="30" spans="1:8" x14ac:dyDescent="0.3">
      <c r="A30" t="str">
        <f>VLOOKUP(B30,lookup[],2,FALSE)</f>
        <v>SC_07_50019E</v>
      </c>
      <c r="B30" t="s">
        <v>110</v>
      </c>
      <c r="C30">
        <f>VLOOKUP(A30,sr[],2,FALSE)</f>
        <v>2007</v>
      </c>
      <c r="D30">
        <v>2</v>
      </c>
      <c r="E30">
        <v>3</v>
      </c>
      <c r="F30" t="s">
        <v>2571</v>
      </c>
      <c r="G30" t="s">
        <v>2558</v>
      </c>
      <c r="H30" t="str" cm="1">
        <f t="array" ref="H30">_xlfn.IFS(D30=E30,"x",ISBLANK(E30),"Blank", ISBLANK(D30), "Blank",D30&lt;&gt;E30," ")</f>
        <v xml:space="preserve"> </v>
      </c>
    </row>
    <row r="31" spans="1:8" x14ac:dyDescent="0.3">
      <c r="A31" t="str">
        <f>VLOOKUP(B31,lookup[],2,FALSE)</f>
        <v>SC_07_50020E</v>
      </c>
      <c r="B31" t="s">
        <v>112</v>
      </c>
      <c r="C31">
        <f>VLOOKUP(A31,sr[],2,FALSE)</f>
        <v>2007</v>
      </c>
      <c r="E31">
        <v>3</v>
      </c>
      <c r="F31" t="s">
        <v>2571</v>
      </c>
      <c r="G31" t="s">
        <v>17</v>
      </c>
      <c r="H31" t="str" cm="1">
        <f t="array" ref="H31">_xlfn.IFS(D31=E31,"x",ISBLANK(E31),"Blank", ISBLANK(D31), "Blank",D31&lt;&gt;E31," ")</f>
        <v>Blank</v>
      </c>
    </row>
    <row r="32" spans="1:8" x14ac:dyDescent="0.3">
      <c r="A32" t="str">
        <f>VLOOKUP(B32,lookup[],2,FALSE)</f>
        <v>SC_07_50021E</v>
      </c>
      <c r="B32" t="s">
        <v>114</v>
      </c>
      <c r="C32">
        <f>VLOOKUP(A32,sr[],2,FALSE)</f>
        <v>2007</v>
      </c>
      <c r="D32">
        <v>2</v>
      </c>
      <c r="E32">
        <v>2</v>
      </c>
      <c r="F32" t="s">
        <v>2571</v>
      </c>
      <c r="H32" t="str" cm="1">
        <f t="array" ref="H32">_xlfn.IFS(D32=E32,"x",ISBLANK(E32),"Blank", ISBLANK(D32), "Blank",D32&lt;&gt;E32," ")</f>
        <v>x</v>
      </c>
    </row>
    <row r="33" spans="1:8" x14ac:dyDescent="0.3">
      <c r="A33" t="str">
        <f>VLOOKUP(B33,lookup[],2,FALSE)</f>
        <v>SC_07_50022E</v>
      </c>
      <c r="B33" t="s">
        <v>116</v>
      </c>
      <c r="C33">
        <f>VLOOKUP(A33,sr[],2,FALSE)</f>
        <v>2007</v>
      </c>
      <c r="F33" t="s">
        <v>2571</v>
      </c>
      <c r="G33" t="s">
        <v>2560</v>
      </c>
    </row>
    <row r="34" spans="1:8" x14ac:dyDescent="0.3">
      <c r="A34" t="str">
        <f>VLOOKUP(B34,lookup[],2,FALSE)</f>
        <v>SC_07_50024E</v>
      </c>
      <c r="B34" t="s">
        <v>118</v>
      </c>
      <c r="C34">
        <f>VLOOKUP(A34,sr[],2,FALSE)</f>
        <v>2007</v>
      </c>
      <c r="D34">
        <v>4</v>
      </c>
      <c r="E34">
        <v>3</v>
      </c>
      <c r="F34" t="s">
        <v>2571</v>
      </c>
      <c r="H34" t="str" cm="1">
        <f t="array" ref="H34">_xlfn.IFS(D34=E34,"x",ISBLANK(E34),"Blank", ISBLANK(D34), "Blank",D34&lt;&gt;E34," ")</f>
        <v xml:space="preserve"> </v>
      </c>
    </row>
    <row r="35" spans="1:8" x14ac:dyDescent="0.3">
      <c r="A35" t="str">
        <f>VLOOKUP(B35,lookup[],2,FALSE)</f>
        <v>SC_07_50025E</v>
      </c>
      <c r="B35" t="s">
        <v>120</v>
      </c>
      <c r="C35">
        <f>VLOOKUP(A35,sr[],2,FALSE)</f>
        <v>2007</v>
      </c>
      <c r="D35">
        <v>3</v>
      </c>
      <c r="E35">
        <v>2</v>
      </c>
      <c r="F35" t="s">
        <v>2571</v>
      </c>
      <c r="H35" t="str" cm="1">
        <f t="array" ref="H35">_xlfn.IFS(D35=E35,"x",ISBLANK(E35),"Blank", ISBLANK(D35), "Blank",D35&lt;&gt;E35," ")</f>
        <v xml:space="preserve"> </v>
      </c>
    </row>
    <row r="36" spans="1:8" x14ac:dyDescent="0.3">
      <c r="A36" t="str">
        <f>VLOOKUP(B36,lookup[],2,FALSE)</f>
        <v>SC_07_50026E</v>
      </c>
      <c r="B36" t="s">
        <v>122</v>
      </c>
      <c r="C36">
        <f>VLOOKUP(A36,sr[],2,FALSE)</f>
        <v>2007</v>
      </c>
      <c r="D36">
        <v>4</v>
      </c>
      <c r="E36">
        <v>4</v>
      </c>
      <c r="F36" t="s">
        <v>2571</v>
      </c>
      <c r="H36" t="str" cm="1">
        <f t="array" ref="H36">_xlfn.IFS(D36=E36,"x",ISBLANK(E36),"Blank", ISBLANK(D36), "Blank",D36&lt;&gt;E36," ")</f>
        <v>x</v>
      </c>
    </row>
    <row r="37" spans="1:8" x14ac:dyDescent="0.3">
      <c r="A37" t="str">
        <f>VLOOKUP(B37,lookup[],2,FALSE)</f>
        <v>SC_07_50027E</v>
      </c>
      <c r="B37" t="s">
        <v>124</v>
      </c>
      <c r="C37" t="e">
        <f>VLOOKUP(A37,sr[],2,FALSE)</f>
        <v>#N/A</v>
      </c>
      <c r="E37">
        <v>1</v>
      </c>
      <c r="F37" t="s">
        <v>2571</v>
      </c>
      <c r="G37" t="s">
        <v>2559</v>
      </c>
      <c r="H37" t="str" cm="1">
        <f t="array" ref="H37">_xlfn.IFS(D37=E37,"x",ISBLANK(E37),"Blank", ISBLANK(D37), "Blank",D37&lt;&gt;E37," ")</f>
        <v>Blank</v>
      </c>
    </row>
    <row r="38" spans="1:8" x14ac:dyDescent="0.3">
      <c r="A38" t="str">
        <f>VLOOKUP(B38,lookup[],2,FALSE)</f>
        <v>SC_07_50028E</v>
      </c>
      <c r="B38" t="s">
        <v>126</v>
      </c>
      <c r="C38">
        <f>VLOOKUP(A38,sr[],2,FALSE)</f>
        <v>2007</v>
      </c>
      <c r="D38">
        <v>4</v>
      </c>
      <c r="E38">
        <v>4</v>
      </c>
      <c r="F38" t="s">
        <v>2571</v>
      </c>
      <c r="H38" t="str" cm="1">
        <f t="array" ref="H38">_xlfn.IFS(D38=E38,"x",ISBLANK(E38),"Blank", ISBLANK(D38), "Blank",D38&lt;&gt;E38," ")</f>
        <v>x</v>
      </c>
    </row>
    <row r="39" spans="1:8" x14ac:dyDescent="0.3">
      <c r="A39" t="str">
        <f>VLOOKUP(B39,lookup[],2,FALSE)</f>
        <v>SC_07_50031E</v>
      </c>
      <c r="B39" t="s">
        <v>128</v>
      </c>
      <c r="C39">
        <f>VLOOKUP(A39,sr[],2,FALSE)</f>
        <v>2007</v>
      </c>
      <c r="D39">
        <v>3</v>
      </c>
      <c r="E39">
        <v>3</v>
      </c>
      <c r="F39" t="s">
        <v>2571</v>
      </c>
      <c r="H39" t="str" cm="1">
        <f t="array" ref="H39">_xlfn.IFS(D39=E39,"x",ISBLANK(E39),"Blank", ISBLANK(D39), "Blank",D39&lt;&gt;E39," ")</f>
        <v>x</v>
      </c>
    </row>
    <row r="40" spans="1:8" x14ac:dyDescent="0.3">
      <c r="A40" t="str">
        <f>VLOOKUP(B40,lookup[],2,FALSE)</f>
        <v>SC_07_50032E</v>
      </c>
      <c r="B40" t="s">
        <v>130</v>
      </c>
      <c r="C40">
        <f>VLOOKUP(A40,sr[],2,FALSE)</f>
        <v>2007</v>
      </c>
      <c r="D40">
        <v>3</v>
      </c>
      <c r="E40">
        <v>3</v>
      </c>
      <c r="F40" t="s">
        <v>2571</v>
      </c>
      <c r="H40" t="str" cm="1">
        <f t="array" ref="H40">_xlfn.IFS(D40=E40,"x",ISBLANK(E40),"Blank", ISBLANK(D40), "Blank",D40&lt;&gt;E40," ")</f>
        <v>x</v>
      </c>
    </row>
    <row r="41" spans="1:8" x14ac:dyDescent="0.3">
      <c r="A41" t="str">
        <f>VLOOKUP(B41,lookup[],2,FALSE)</f>
        <v>SC_07_50033E</v>
      </c>
      <c r="B41" t="s">
        <v>132</v>
      </c>
      <c r="C41" t="e">
        <f>VLOOKUP(A41,sr[],2,FALSE)</f>
        <v>#N/A</v>
      </c>
      <c r="E41">
        <v>3</v>
      </c>
      <c r="F41" t="s">
        <v>2571</v>
      </c>
      <c r="H41" t="str" cm="1">
        <f t="array" ref="H41">_xlfn.IFS(D41=E41,"x",ISBLANK(E41),"Blank", ISBLANK(D41), "Blank",D41&lt;&gt;E41," ")</f>
        <v>Blank</v>
      </c>
    </row>
    <row r="42" spans="1:8" x14ac:dyDescent="0.3">
      <c r="A42" t="str">
        <f>VLOOKUP(B42,lookup[],2,FALSE)</f>
        <v>SC_07_50034E</v>
      </c>
      <c r="B42" t="s">
        <v>134</v>
      </c>
      <c r="C42">
        <f>VLOOKUP(A42,sr[],2,FALSE)</f>
        <v>2007</v>
      </c>
      <c r="D42">
        <v>2</v>
      </c>
      <c r="E42">
        <v>2</v>
      </c>
      <c r="F42" t="s">
        <v>2571</v>
      </c>
      <c r="H42" t="str" cm="1">
        <f t="array" ref="H42">_xlfn.IFS(D42=E42,"x",ISBLANK(E42),"Blank", ISBLANK(D42), "Blank",D42&lt;&gt;E42," ")</f>
        <v>x</v>
      </c>
    </row>
    <row r="43" spans="1:8" x14ac:dyDescent="0.3">
      <c r="A43" t="str">
        <f>VLOOKUP(B43,lookup[],2,FALSE)</f>
        <v>SC_07_50040E</v>
      </c>
      <c r="B43" t="s">
        <v>136</v>
      </c>
      <c r="C43">
        <f>VLOOKUP(A43,sr[],2,FALSE)</f>
        <v>2007</v>
      </c>
      <c r="D43">
        <v>3</v>
      </c>
      <c r="E43">
        <v>3</v>
      </c>
      <c r="F43" t="s">
        <v>2571</v>
      </c>
      <c r="G43" t="s">
        <v>2560</v>
      </c>
      <c r="H43" t="str" cm="1">
        <f t="array" ref="H43">_xlfn.IFS(D43=E43,"x",ISBLANK(E43),"Blank", ISBLANK(D43), "Blank",D43&lt;&gt;E43," ")</f>
        <v>x</v>
      </c>
    </row>
    <row r="44" spans="1:8" x14ac:dyDescent="0.3">
      <c r="A44" t="str">
        <f>VLOOKUP(B44,lookup[],2,FALSE)</f>
        <v>SC_07_50041E</v>
      </c>
      <c r="B44" t="s">
        <v>138</v>
      </c>
      <c r="C44">
        <f>VLOOKUP(A44,sr[],2,FALSE)</f>
        <v>2007</v>
      </c>
      <c r="D44">
        <v>3</v>
      </c>
      <c r="E44">
        <v>3</v>
      </c>
      <c r="F44" t="s">
        <v>2571</v>
      </c>
      <c r="H44" t="str" cm="1">
        <f t="array" ref="H44">_xlfn.IFS(D44=E44,"x",ISBLANK(E44),"Blank", ISBLANK(D44), "Blank",D44&lt;&gt;E44," ")</f>
        <v>x</v>
      </c>
    </row>
    <row r="45" spans="1:8" x14ac:dyDescent="0.3">
      <c r="A45" t="str">
        <f>VLOOKUP(B45,lookup[],2,FALSE)</f>
        <v>SC_07_50042E</v>
      </c>
      <c r="B45" t="s">
        <v>140</v>
      </c>
      <c r="C45">
        <f>VLOOKUP(A45,sr[],2,FALSE)</f>
        <v>2007</v>
      </c>
      <c r="D45">
        <v>2</v>
      </c>
      <c r="E45">
        <v>3</v>
      </c>
      <c r="F45" t="s">
        <v>2571</v>
      </c>
      <c r="H45" t="str" cm="1">
        <f t="array" ref="H45">_xlfn.IFS(D45=E45,"x",ISBLANK(E45),"Blank", ISBLANK(D45), "Blank",D45&lt;&gt;E45," ")</f>
        <v xml:space="preserve"> </v>
      </c>
    </row>
    <row r="46" spans="1:8" x14ac:dyDescent="0.3">
      <c r="A46" t="str">
        <f>VLOOKUP(B46,lookup[],2,FALSE)</f>
        <v>SC_07_50043E</v>
      </c>
      <c r="B46" t="s">
        <v>142</v>
      </c>
      <c r="C46">
        <f>VLOOKUP(A46,sr[],2,FALSE)</f>
        <v>2007</v>
      </c>
      <c r="D46">
        <v>2</v>
      </c>
      <c r="E46">
        <v>2</v>
      </c>
      <c r="F46" t="s">
        <v>2571</v>
      </c>
      <c r="H46" t="str" cm="1">
        <f t="array" ref="H46">_xlfn.IFS(D46=E46,"x",ISBLANK(E46),"Blank", ISBLANK(D46), "Blank",D46&lt;&gt;E46," ")</f>
        <v>x</v>
      </c>
    </row>
    <row r="47" spans="1:8" x14ac:dyDescent="0.3">
      <c r="A47" t="str">
        <f>VLOOKUP(B47,lookup[],2,FALSE)</f>
        <v>SC_07_50044E</v>
      </c>
      <c r="B47" t="s">
        <v>144</v>
      </c>
      <c r="C47">
        <f>VLOOKUP(A47,sr[],2,FALSE)</f>
        <v>2007</v>
      </c>
      <c r="D47">
        <v>3</v>
      </c>
      <c r="E47">
        <v>2</v>
      </c>
      <c r="F47" t="s">
        <v>2571</v>
      </c>
      <c r="H47" t="str" cm="1">
        <f t="array" ref="H47">_xlfn.IFS(D47=E47,"x",ISBLANK(E47),"Blank", ISBLANK(D47), "Blank",D47&lt;&gt;E47," ")</f>
        <v xml:space="preserve"> </v>
      </c>
    </row>
    <row r="48" spans="1:8" x14ac:dyDescent="0.3">
      <c r="A48" t="str">
        <f>VLOOKUP(B48,lookup[],2,FALSE)</f>
        <v>SC_07_50046E</v>
      </c>
      <c r="B48" t="s">
        <v>146</v>
      </c>
      <c r="C48">
        <f>VLOOKUP(A48,sr[],2,FALSE)</f>
        <v>2007</v>
      </c>
      <c r="E48">
        <v>3</v>
      </c>
      <c r="F48" t="s">
        <v>2571</v>
      </c>
      <c r="G48" t="s">
        <v>2561</v>
      </c>
      <c r="H48" t="str" cm="1">
        <f t="array" ref="H48">_xlfn.IFS(D48=E48,"x",ISBLANK(E48),"Blank", ISBLANK(D48), "Blank",D48&lt;&gt;E48," ")</f>
        <v>Blank</v>
      </c>
    </row>
    <row r="49" spans="1:8" x14ac:dyDescent="0.3">
      <c r="A49" t="str">
        <f>VLOOKUP(B49,lookup[],2,FALSE)</f>
        <v>SC_07_50047E</v>
      </c>
      <c r="B49" t="s">
        <v>148</v>
      </c>
      <c r="C49">
        <f>VLOOKUP(A49,sr[],2,FALSE)</f>
        <v>2007</v>
      </c>
      <c r="D49">
        <v>3</v>
      </c>
      <c r="E49">
        <v>3</v>
      </c>
      <c r="F49" t="s">
        <v>2571</v>
      </c>
      <c r="G49" t="s">
        <v>2558</v>
      </c>
      <c r="H49" t="str" cm="1">
        <f t="array" ref="H49">_xlfn.IFS(D49=E49,"x",ISBLANK(E49),"Blank", ISBLANK(D49), "Blank",D49&lt;&gt;E49," ")</f>
        <v>x</v>
      </c>
    </row>
    <row r="50" spans="1:8" x14ac:dyDescent="0.3">
      <c r="A50" t="str">
        <f>VLOOKUP(B50,lookup[],2,FALSE)</f>
        <v>SC_07_50048E</v>
      </c>
      <c r="B50" t="s">
        <v>150</v>
      </c>
      <c r="C50" t="e">
        <f>VLOOKUP(A50,sr[],2,FALSE)</f>
        <v>#N/A</v>
      </c>
      <c r="D50">
        <v>2</v>
      </c>
      <c r="E50">
        <v>3</v>
      </c>
      <c r="F50" t="s">
        <v>2571</v>
      </c>
      <c r="H50" t="str" cm="1">
        <f t="array" ref="H50">_xlfn.IFS(D50=E50,"x",ISBLANK(E50),"Blank", ISBLANK(D50), "Blank",D50&lt;&gt;E50," ")</f>
        <v xml:space="preserve"> </v>
      </c>
    </row>
    <row r="51" spans="1:8" x14ac:dyDescent="0.3">
      <c r="A51" t="str">
        <f>VLOOKUP(B51,lookup[],2,FALSE)</f>
        <v>SC_07_50049E</v>
      </c>
      <c r="B51" t="s">
        <v>152</v>
      </c>
      <c r="C51">
        <f>VLOOKUP(A51,sr[],2,FALSE)</f>
        <v>2007</v>
      </c>
      <c r="D51">
        <v>3</v>
      </c>
      <c r="E51">
        <v>3</v>
      </c>
      <c r="F51" t="s">
        <v>2571</v>
      </c>
      <c r="H51" t="str" cm="1">
        <f t="array" ref="H51">_xlfn.IFS(D51=E51,"x",ISBLANK(E51),"Blank", ISBLANK(D51), "Blank",D51&lt;&gt;E51," ")</f>
        <v>x</v>
      </c>
    </row>
    <row r="52" spans="1:8" x14ac:dyDescent="0.3">
      <c r="A52" t="str">
        <f>VLOOKUP(B52,lookup[],2,FALSE)</f>
        <v>SC_07_50050E</v>
      </c>
      <c r="B52" t="s">
        <v>154</v>
      </c>
      <c r="C52">
        <f>VLOOKUP(A52,sr[],2,FALSE)</f>
        <v>2007</v>
      </c>
      <c r="F52" t="s">
        <v>2571</v>
      </c>
      <c r="G52" t="s">
        <v>2561</v>
      </c>
    </row>
    <row r="53" spans="1:8" x14ac:dyDescent="0.3">
      <c r="A53" t="str">
        <f>VLOOKUP(B53,lookup[],2,FALSE)</f>
        <v>SC_07_50054E</v>
      </c>
      <c r="B53" t="s">
        <v>156</v>
      </c>
      <c r="C53">
        <f>VLOOKUP(A53,sr[],2,FALSE)</f>
        <v>2007</v>
      </c>
      <c r="D53">
        <v>4</v>
      </c>
      <c r="E53">
        <v>4</v>
      </c>
      <c r="F53" t="s">
        <v>2571</v>
      </c>
      <c r="H53" t="str" cm="1">
        <f t="array" ref="H53">_xlfn.IFS(D53=E53,"x",ISBLANK(E53),"Blank", ISBLANK(D53), "Blank",D53&lt;&gt;E53," ")</f>
        <v>x</v>
      </c>
    </row>
    <row r="54" spans="1:8" x14ac:dyDescent="0.3">
      <c r="A54" t="str">
        <f>VLOOKUP(B54,lookup[],2,FALSE)</f>
        <v>BC-809022-B2</v>
      </c>
      <c r="B54" t="s">
        <v>2230</v>
      </c>
      <c r="C54" t="e">
        <f>VLOOKUP(A54,sr[],2,FALSE)</f>
        <v>#N/A</v>
      </c>
      <c r="D54">
        <v>3</v>
      </c>
      <c r="E54">
        <v>3</v>
      </c>
      <c r="F54" t="s">
        <v>2571</v>
      </c>
      <c r="H54" t="str" cm="1">
        <f t="array" ref="H54">_xlfn.IFS(D54=E54,"x",ISBLANK(E54),"Blank", ISBLANK(D54), "Blank",D54&lt;&gt;E54," ")</f>
        <v>x</v>
      </c>
    </row>
    <row r="55" spans="1:8" x14ac:dyDescent="0.3">
      <c r="A55" t="str">
        <f>VLOOKUP(B55,lookup[],2,FALSE)</f>
        <v>BC-809022-B1</v>
      </c>
      <c r="B55" t="s">
        <v>2232</v>
      </c>
      <c r="C55" t="e">
        <f>VLOOKUP(A55,sr[],2,FALSE)</f>
        <v>#N/A</v>
      </c>
      <c r="D55">
        <v>3</v>
      </c>
      <c r="E55">
        <v>3</v>
      </c>
      <c r="F55" t="s">
        <v>2571</v>
      </c>
      <c r="H55" t="str" cm="1">
        <f t="array" ref="H55">_xlfn.IFS(D55=E55,"x",ISBLANK(E55),"Blank", ISBLANK(D55), "Blank",D55&lt;&gt;E55," ")</f>
        <v>x</v>
      </c>
    </row>
    <row r="56" spans="1:8" x14ac:dyDescent="0.3">
      <c r="A56" t="str">
        <f>VLOOKUP(B56,lookup[],2,FALSE)</f>
        <v>SC_11_50004E</v>
      </c>
      <c r="B56" t="s">
        <v>694</v>
      </c>
      <c r="C56">
        <f>VLOOKUP(A56,sr[],2,FALSE)</f>
        <v>2011</v>
      </c>
      <c r="E56">
        <v>2</v>
      </c>
      <c r="F56" t="s">
        <v>2572</v>
      </c>
      <c r="G56" t="s">
        <v>2562</v>
      </c>
      <c r="H56" t="str" cm="1">
        <f t="array" ref="H56">_xlfn.IFS(D56=E56,"x",ISBLANK(E56),"Blank", ISBLANK(D56), "Blank",D56&lt;&gt;E56," ")</f>
        <v>Blank</v>
      </c>
    </row>
    <row r="57" spans="1:8" x14ac:dyDescent="0.3">
      <c r="A57" t="str">
        <f>VLOOKUP(B57,lookup[],2,FALSE)</f>
        <v>SC_07_50057E</v>
      </c>
      <c r="B57" t="s">
        <v>162</v>
      </c>
      <c r="C57">
        <f>VLOOKUP(A57,sr[],2,FALSE)</f>
        <v>2007</v>
      </c>
      <c r="D57">
        <v>3</v>
      </c>
      <c r="E57">
        <v>3</v>
      </c>
      <c r="F57" t="s">
        <v>2572</v>
      </c>
      <c r="H57" t="str" cm="1">
        <f t="array" ref="H57">_xlfn.IFS(D57=E57,"x",ISBLANK(E57),"Blank", ISBLANK(D57), "Blank",D57&lt;&gt;E57," ")</f>
        <v>x</v>
      </c>
    </row>
    <row r="58" spans="1:8" x14ac:dyDescent="0.3">
      <c r="A58" t="str">
        <f>VLOOKUP(B58,lookup[],2,FALSE)</f>
        <v>SC_08_50007E</v>
      </c>
      <c r="B58" t="s">
        <v>170</v>
      </c>
      <c r="C58">
        <f>VLOOKUP(A58,sr[],2,FALSE)</f>
        <v>2008</v>
      </c>
      <c r="D58">
        <v>4</v>
      </c>
      <c r="E58">
        <v>4</v>
      </c>
      <c r="F58" t="s">
        <v>2572</v>
      </c>
      <c r="H58" t="str" cm="1">
        <f t="array" ref="H58">_xlfn.IFS(D58=E58,"x",ISBLANK(E58),"Blank", ISBLANK(D58), "Blank",D58&lt;&gt;E58," ")</f>
        <v>x</v>
      </c>
    </row>
    <row r="59" spans="1:8" x14ac:dyDescent="0.3">
      <c r="A59" t="str">
        <f>VLOOKUP(B59,lookup[],2,FALSE)</f>
        <v>SC_09_50004E</v>
      </c>
      <c r="B59" t="s">
        <v>180</v>
      </c>
      <c r="C59">
        <f>VLOOKUP(A59,sr[],2,FALSE)</f>
        <v>2009</v>
      </c>
      <c r="D59">
        <v>2</v>
      </c>
      <c r="F59" t="s">
        <v>2572</v>
      </c>
      <c r="H59" t="str" cm="1">
        <f t="array" ref="H59">_xlfn.IFS(D59=E59,"x",ISBLANK(E59),"Blank", ISBLANK(D59), "Blank",D59&lt;&gt;E59," ")</f>
        <v>Blank</v>
      </c>
    </row>
    <row r="60" spans="1:8" x14ac:dyDescent="0.3">
      <c r="A60" t="str">
        <f>VLOOKUP(B60,lookup[],2,FALSE)</f>
        <v>SC_09_50015E</v>
      </c>
      <c r="B60" t="s">
        <v>200</v>
      </c>
      <c r="C60">
        <f>VLOOKUP(A60,sr[],2,FALSE)</f>
        <v>2009</v>
      </c>
      <c r="D60">
        <v>3</v>
      </c>
      <c r="E60">
        <v>3</v>
      </c>
      <c r="F60" t="s">
        <v>2572</v>
      </c>
      <c r="H60" t="str" cm="1">
        <f t="array" ref="H60">_xlfn.IFS(D60=E60,"x",ISBLANK(E60),"Blank", ISBLANK(D60), "Blank",D60&lt;&gt;E60," ")</f>
        <v>x</v>
      </c>
    </row>
    <row r="61" spans="1:8" x14ac:dyDescent="0.3">
      <c r="A61" t="str">
        <f>VLOOKUP(B61,lookup[],2,FALSE)</f>
        <v>SC_10_50002E</v>
      </c>
      <c r="B61" t="s">
        <v>270</v>
      </c>
      <c r="C61">
        <f>VLOOKUP(A61,sr[],2,FALSE)</f>
        <v>2010</v>
      </c>
      <c r="F61" t="s">
        <v>2572</v>
      </c>
      <c r="G61" t="s">
        <v>17</v>
      </c>
    </row>
    <row r="62" spans="1:8" x14ac:dyDescent="0.3">
      <c r="A62" t="str">
        <f>VLOOKUP(B62,lookup[],2,FALSE)</f>
        <v>SC_10_50012E</v>
      </c>
      <c r="B62" t="s">
        <v>290</v>
      </c>
      <c r="C62">
        <f>VLOOKUP(A62,sr[],2,FALSE)</f>
        <v>2010</v>
      </c>
      <c r="D62">
        <v>3</v>
      </c>
      <c r="E62">
        <v>3</v>
      </c>
      <c r="F62" t="s">
        <v>2572</v>
      </c>
      <c r="H62" t="str" cm="1">
        <f t="array" ref="H62">_xlfn.IFS(D62=E62,"x",ISBLANK(E62),"Blank", ISBLANK(D62), "Blank",D62&lt;&gt;E62," ")</f>
        <v>x</v>
      </c>
    </row>
    <row r="63" spans="1:8" x14ac:dyDescent="0.3">
      <c r="A63" t="str">
        <f>VLOOKUP(B63,lookup[],2,FALSE)</f>
        <v>SC_10_50058E</v>
      </c>
      <c r="B63" t="s">
        <v>306</v>
      </c>
      <c r="C63">
        <f>VLOOKUP(A63,sr[],2,FALSE)</f>
        <v>2010</v>
      </c>
      <c r="D63">
        <v>4</v>
      </c>
      <c r="E63">
        <v>4</v>
      </c>
      <c r="F63" t="s">
        <v>2572</v>
      </c>
      <c r="H63" t="str" cm="1">
        <f t="array" ref="H63">_xlfn.IFS(D63=E63,"x",ISBLANK(E63),"Blank", ISBLANK(D63), "Blank",D63&lt;&gt;E63," ")</f>
        <v>x</v>
      </c>
    </row>
    <row r="64" spans="1:8" x14ac:dyDescent="0.3">
      <c r="A64" t="str">
        <f>VLOOKUP(B64,lookup[],2,FALSE)</f>
        <v>SC_07_50056E</v>
      </c>
      <c r="B64" t="s">
        <v>160</v>
      </c>
      <c r="C64">
        <f>VLOOKUP(A64,sr[],2,FALSE)</f>
        <v>2007</v>
      </c>
      <c r="E64">
        <v>3</v>
      </c>
      <c r="F64" t="s">
        <v>2572</v>
      </c>
      <c r="G64" t="s">
        <v>2561</v>
      </c>
      <c r="H64" t="str" cm="1">
        <f t="array" ref="H64">_xlfn.IFS(D64=E64,"x",ISBLANK(E64),"Blank", ISBLANK(D64), "Blank",D64&lt;&gt;E64," ")</f>
        <v>Blank</v>
      </c>
    </row>
    <row r="65" spans="1:8" x14ac:dyDescent="0.3">
      <c r="A65" t="str">
        <f>VLOOKUP(B65,lookup[],2,FALSE)</f>
        <v>SC_08_50006E</v>
      </c>
      <c r="B65" t="s">
        <v>168</v>
      </c>
      <c r="C65">
        <f>VLOOKUP(A65,sr[],2,FALSE)</f>
        <v>2008</v>
      </c>
      <c r="D65">
        <v>2</v>
      </c>
      <c r="E65">
        <v>3</v>
      </c>
      <c r="F65" t="s">
        <v>2572</v>
      </c>
      <c r="H65" t="str" cm="1">
        <f t="array" ref="H65">_xlfn.IFS(D65=E65,"x",ISBLANK(E65),"Blank", ISBLANK(D65), "Blank",D65&lt;&gt;E65," ")</f>
        <v xml:space="preserve"> </v>
      </c>
    </row>
    <row r="66" spans="1:8" x14ac:dyDescent="0.3">
      <c r="A66" t="str">
        <f>VLOOKUP(B66,lookup[],2,FALSE)</f>
        <v>SC_09_50003E</v>
      </c>
      <c r="B66" t="s">
        <v>178</v>
      </c>
      <c r="C66">
        <f>VLOOKUP(A66,sr[],2,FALSE)</f>
        <v>2009</v>
      </c>
      <c r="D66">
        <v>3</v>
      </c>
      <c r="E66">
        <v>4</v>
      </c>
      <c r="F66" t="s">
        <v>2572</v>
      </c>
      <c r="H66" t="str" cm="1">
        <f t="array" ref="H66">_xlfn.IFS(D66=E66,"x",ISBLANK(E66),"Blank", ISBLANK(D66), "Blank",D66&lt;&gt;E66," ")</f>
        <v xml:space="preserve"> </v>
      </c>
    </row>
    <row r="67" spans="1:8" x14ac:dyDescent="0.3">
      <c r="A67" t="str">
        <f>VLOOKUP(B67,lookup[],2,FALSE)</f>
        <v>SC_09_50014E</v>
      </c>
      <c r="B67" t="s">
        <v>198</v>
      </c>
      <c r="C67">
        <f>VLOOKUP(A67,sr[],2,FALSE)</f>
        <v>2009</v>
      </c>
      <c r="D67">
        <v>2</v>
      </c>
      <c r="E67">
        <v>3</v>
      </c>
      <c r="F67" t="s">
        <v>2572</v>
      </c>
      <c r="G67" t="s">
        <v>2560</v>
      </c>
      <c r="H67" t="str" cm="1">
        <f t="array" ref="H67">_xlfn.IFS(D67=E67,"x",ISBLANK(E67),"Blank", ISBLANK(D67), "Blank",D67&lt;&gt;E67," ")</f>
        <v xml:space="preserve"> </v>
      </c>
    </row>
    <row r="68" spans="1:8" x14ac:dyDescent="0.3">
      <c r="A68" t="str">
        <f>VLOOKUP(B68,lookup[],2,FALSE)</f>
        <v>SC_10_50000E</v>
      </c>
      <c r="B68" t="s">
        <v>268</v>
      </c>
      <c r="C68">
        <f>VLOOKUP(A68,sr[],2,FALSE)</f>
        <v>2010</v>
      </c>
      <c r="F68" t="s">
        <v>2572</v>
      </c>
      <c r="G68" t="s">
        <v>17</v>
      </c>
    </row>
    <row r="69" spans="1:8" x14ac:dyDescent="0.3">
      <c r="A69" t="str">
        <f>VLOOKUP(B69,lookup[],2,FALSE)</f>
        <v>SC_10_50057E</v>
      </c>
      <c r="B69" t="s">
        <v>304</v>
      </c>
      <c r="C69">
        <f>VLOOKUP(A69,sr[],2,FALSE)</f>
        <v>2010</v>
      </c>
      <c r="F69" t="s">
        <v>2572</v>
      </c>
      <c r="G69" t="s">
        <v>2563</v>
      </c>
    </row>
    <row r="70" spans="1:8" x14ac:dyDescent="0.3">
      <c r="A70" t="str">
        <f>VLOOKUP(B70,lookup[],2,FALSE)</f>
        <v>SC_10_50071E</v>
      </c>
      <c r="B70" t="s">
        <v>324</v>
      </c>
      <c r="C70">
        <f>VLOOKUP(A70,sr[],2,FALSE)</f>
        <v>2010</v>
      </c>
      <c r="D70">
        <v>4</v>
      </c>
      <c r="E70">
        <v>4</v>
      </c>
      <c r="F70" t="s">
        <v>2572</v>
      </c>
      <c r="H70" t="str" cm="1">
        <f t="array" ref="H70">_xlfn.IFS(D70=E70,"x",ISBLANK(E70),"Blank", ISBLANK(D70), "Blank",D70&lt;&gt;E70," ")</f>
        <v>x</v>
      </c>
    </row>
    <row r="71" spans="1:8" x14ac:dyDescent="0.3">
      <c r="A71" t="str">
        <f>VLOOKUP(B71,lookup[],2,FALSE)</f>
        <v>SC_11_50000E</v>
      </c>
      <c r="B71" t="s">
        <v>690</v>
      </c>
      <c r="C71">
        <f>VLOOKUP(A71,sr[],2,FALSE)</f>
        <v>2011</v>
      </c>
      <c r="D71">
        <v>3</v>
      </c>
      <c r="E71">
        <v>3</v>
      </c>
      <c r="F71" t="s">
        <v>2572</v>
      </c>
      <c r="H71" t="str" cm="1">
        <f t="array" ref="H71">_xlfn.IFS(D71=E71,"x",ISBLANK(E71),"Blank", ISBLANK(D71), "Blank",D71&lt;&gt;E71," ")</f>
        <v>x</v>
      </c>
    </row>
    <row r="72" spans="1:8" x14ac:dyDescent="0.3">
      <c r="A72" t="str">
        <f>VLOOKUP(B72,lookup[],2,FALSE)</f>
        <v>SC_11_50019E</v>
      </c>
      <c r="B72" t="s">
        <v>710</v>
      </c>
      <c r="C72">
        <f>VLOOKUP(A72,sr[],2,FALSE)</f>
        <v>2011</v>
      </c>
      <c r="D72">
        <v>3</v>
      </c>
      <c r="E72">
        <v>3</v>
      </c>
      <c r="F72" t="s">
        <v>2572</v>
      </c>
      <c r="H72" t="str" cm="1">
        <f t="array" ref="H72">_xlfn.IFS(D72=E72,"x",ISBLANK(E72),"Blank", ISBLANK(D72), "Blank",D72&lt;&gt;E72," ")</f>
        <v>x</v>
      </c>
    </row>
    <row r="73" spans="1:8" x14ac:dyDescent="0.3">
      <c r="A73" t="str">
        <f>VLOOKUP(B73,lookup[],2,FALSE)</f>
        <v>SC_07_50055E</v>
      </c>
      <c r="B73" t="s">
        <v>158</v>
      </c>
      <c r="C73">
        <f>VLOOKUP(A73,sr[],2,FALSE)</f>
        <v>2007</v>
      </c>
      <c r="E73">
        <v>3</v>
      </c>
      <c r="F73" t="s">
        <v>2572</v>
      </c>
      <c r="G73" t="s">
        <v>2561</v>
      </c>
      <c r="H73" t="str" cm="1">
        <f t="array" ref="H73">_xlfn.IFS(D73=E73,"x",ISBLANK(E73),"Blank", ISBLANK(D73), "Blank",D73&lt;&gt;E73," ")</f>
        <v>Blank</v>
      </c>
    </row>
    <row r="74" spans="1:8" x14ac:dyDescent="0.3">
      <c r="A74" t="str">
        <f>VLOOKUP(B74,lookup[],2,FALSE)</f>
        <v>SC_08_50005E</v>
      </c>
      <c r="B74" t="s">
        <v>166</v>
      </c>
      <c r="C74">
        <f>VLOOKUP(A74,sr[],2,FALSE)</f>
        <v>2008</v>
      </c>
      <c r="E74">
        <v>2</v>
      </c>
      <c r="F74" t="s">
        <v>2572</v>
      </c>
      <c r="G74" t="s">
        <v>2562</v>
      </c>
      <c r="H74" t="str" cm="1">
        <f t="array" ref="H74">_xlfn.IFS(D74=E74,"x",ISBLANK(E74),"Blank", ISBLANK(D74), "Blank",D74&lt;&gt;E74," ")</f>
        <v>Blank</v>
      </c>
    </row>
    <row r="75" spans="1:8" x14ac:dyDescent="0.3">
      <c r="A75" t="str">
        <f>VLOOKUP(B75,lookup[],2,FALSE)</f>
        <v>SC_09_50001E</v>
      </c>
      <c r="B75" t="s">
        <v>176</v>
      </c>
      <c r="C75">
        <f>VLOOKUP(A75,sr[],2,FALSE)</f>
        <v>2009</v>
      </c>
      <c r="D75">
        <v>3</v>
      </c>
      <c r="E75">
        <v>4</v>
      </c>
      <c r="F75" t="s">
        <v>2572</v>
      </c>
      <c r="H75" t="str" cm="1">
        <f t="array" ref="H75">_xlfn.IFS(D75=E75,"x",ISBLANK(E75),"Blank", ISBLANK(D75), "Blank",D75&lt;&gt;E75," ")</f>
        <v xml:space="preserve"> </v>
      </c>
    </row>
    <row r="76" spans="1:8" x14ac:dyDescent="0.3">
      <c r="A76" t="str">
        <f>VLOOKUP(B76,lookup[],2,FALSE)</f>
        <v>SC_09_50013E</v>
      </c>
      <c r="B76" t="s">
        <v>196</v>
      </c>
      <c r="C76">
        <f>VLOOKUP(A76,sr[],2,FALSE)</f>
        <v>2009</v>
      </c>
      <c r="D76">
        <v>3</v>
      </c>
      <c r="E76">
        <v>3</v>
      </c>
      <c r="F76" t="s">
        <v>2572</v>
      </c>
      <c r="H76" t="str" cm="1">
        <f t="array" ref="H76">_xlfn.IFS(D76=E76,"x",ISBLANK(E76),"Blank", ISBLANK(D76), "Blank",D76&lt;&gt;E76," ")</f>
        <v>x</v>
      </c>
    </row>
    <row r="77" spans="1:8" x14ac:dyDescent="0.3">
      <c r="A77" t="str">
        <f>VLOOKUP(B77,lookup[],2,FALSE)</f>
        <v>SC_10_50010E</v>
      </c>
      <c r="B77" t="s">
        <v>286</v>
      </c>
      <c r="C77">
        <f>VLOOKUP(A77,sr[],2,FALSE)</f>
        <v>2010</v>
      </c>
      <c r="D77">
        <v>3</v>
      </c>
      <c r="E77">
        <v>3</v>
      </c>
      <c r="F77" t="s">
        <v>2572</v>
      </c>
      <c r="H77" t="str" cm="1">
        <f t="array" ref="H77">_xlfn.IFS(D77=E77,"x",ISBLANK(E77),"Blank", ISBLANK(D77), "Blank",D77&lt;&gt;E77," ")</f>
        <v>x</v>
      </c>
    </row>
    <row r="78" spans="1:8" x14ac:dyDescent="0.3">
      <c r="A78" t="str">
        <f>VLOOKUP(B78,lookup[],2,FALSE)</f>
        <v>SC_10_50069E</v>
      </c>
      <c r="B78" t="s">
        <v>322</v>
      </c>
      <c r="C78">
        <f>VLOOKUP(A78,sr[],2,FALSE)</f>
        <v>2010</v>
      </c>
      <c r="F78" t="s">
        <v>2572</v>
      </c>
      <c r="G78" t="s">
        <v>2561</v>
      </c>
    </row>
    <row r="79" spans="1:8" x14ac:dyDescent="0.3">
      <c r="A79" t="str">
        <f>VLOOKUP(B79,lookup[],2,FALSE)</f>
        <v>SC_11_50018E</v>
      </c>
      <c r="B79" t="s">
        <v>708</v>
      </c>
      <c r="C79">
        <f>VLOOKUP(A79,sr[],2,FALSE)</f>
        <v>2011</v>
      </c>
      <c r="E79">
        <v>3</v>
      </c>
      <c r="F79" t="s">
        <v>2572</v>
      </c>
      <c r="G79" t="s">
        <v>17</v>
      </c>
      <c r="H79" t="str" cm="1">
        <f t="array" ref="H79">_xlfn.IFS(D79=E79,"x",ISBLANK(E79),"Blank", ISBLANK(D79), "Blank",D79&lt;&gt;E79," ")</f>
        <v>Blank</v>
      </c>
    </row>
    <row r="80" spans="1:8" x14ac:dyDescent="0.3">
      <c r="A80" t="str">
        <f>VLOOKUP(B80,lookup[],2,FALSE)</f>
        <v>SC_11_50003E</v>
      </c>
      <c r="B80" t="s">
        <v>692</v>
      </c>
      <c r="C80" t="e">
        <f>VLOOKUP(A80,sr[],2,FALSE)</f>
        <v>#N/A</v>
      </c>
      <c r="D80">
        <v>3</v>
      </c>
      <c r="E80">
        <v>3</v>
      </c>
      <c r="F80" t="s">
        <v>2572</v>
      </c>
      <c r="H80" t="str" cm="1">
        <f t="array" ref="H80">_xlfn.IFS(D80=E80,"x",ISBLANK(E80),"Blank", ISBLANK(D80), "Blank",D80&lt;&gt;E80," ")</f>
        <v>x</v>
      </c>
    </row>
    <row r="81" spans="1:8" x14ac:dyDescent="0.3">
      <c r="A81" t="str">
        <f>VLOOKUP(B81,lookup[],2,FALSE)</f>
        <v>SC_10_50011E</v>
      </c>
      <c r="B81" t="s">
        <v>288</v>
      </c>
      <c r="C81">
        <f>VLOOKUP(A81,sr[],2,FALSE)</f>
        <v>2010</v>
      </c>
      <c r="F81" t="s">
        <v>2572</v>
      </c>
      <c r="G81" t="s">
        <v>2562</v>
      </c>
    </row>
    <row r="82" spans="1:8" x14ac:dyDescent="0.3">
      <c r="A82" t="str">
        <f>VLOOKUP(B82,lookup[],2,FALSE)</f>
        <v>SC_CA_BUT_4190_2865_01</v>
      </c>
      <c r="B82" t="s">
        <v>1800</v>
      </c>
      <c r="C82" t="e">
        <f>VLOOKUP(A82,sr[],2,FALSE)</f>
        <v>#N/A</v>
      </c>
      <c r="D82">
        <v>3</v>
      </c>
      <c r="E82">
        <v>4</v>
      </c>
      <c r="F82" t="s">
        <v>2572</v>
      </c>
      <c r="G82" t="s">
        <v>2558</v>
      </c>
      <c r="H82" t="str" cm="1">
        <f t="array" ref="H82">_xlfn.IFS(D82=E82,"x",ISBLANK(E82),"Blank", ISBLANK(D82), "Blank",D82&lt;&gt;E82," ")</f>
        <v xml:space="preserve"> </v>
      </c>
    </row>
    <row r="83" spans="1:8" x14ac:dyDescent="0.3">
      <c r="A83" t="str">
        <f>VLOOKUP(B83,lookup[],2,FALSE)</f>
        <v>SC_CA_BUT_4185_1626_01</v>
      </c>
      <c r="B83" t="s">
        <v>1694</v>
      </c>
      <c r="C83" t="e">
        <f>VLOOKUP(A83,sr[],2,FALSE)</f>
        <v>#N/A</v>
      </c>
      <c r="D83">
        <v>4</v>
      </c>
      <c r="E83">
        <v>5</v>
      </c>
      <c r="F83" t="s">
        <v>2572</v>
      </c>
      <c r="H83" t="str" cm="1">
        <f t="array" ref="H83">_xlfn.IFS(D83=E83,"x",ISBLANK(E83),"Blank", ISBLANK(D83), "Blank",D83&lt;&gt;E83," ")</f>
        <v xml:space="preserve"> </v>
      </c>
    </row>
    <row r="84" spans="1:8" x14ac:dyDescent="0.3">
      <c r="A84" t="str">
        <f>VLOOKUP(B84,lookup[],2,FALSE)</f>
        <v>SC_11292018_299</v>
      </c>
      <c r="B84" t="s">
        <v>1011</v>
      </c>
      <c r="C84" t="e">
        <f>VLOOKUP(A84,sr[],2,FALSE)</f>
        <v>#N/A</v>
      </c>
      <c r="D84">
        <v>3</v>
      </c>
      <c r="E84">
        <v>3</v>
      </c>
      <c r="F84" t="s">
        <v>2572</v>
      </c>
      <c r="H84" t="str" cm="1">
        <f t="array" ref="H84">_xlfn.IFS(D84=E84,"x",ISBLANK(E84),"Blank", ISBLANK(D84), "Blank",D84&lt;&gt;E84," ")</f>
        <v>x</v>
      </c>
    </row>
    <row r="85" spans="1:8" x14ac:dyDescent="0.3">
      <c r="A85" t="str">
        <f>VLOOKUP(B85,lookup[],2,FALSE)</f>
        <v>SC_11292018_376</v>
      </c>
      <c r="B85" t="s">
        <v>1013</v>
      </c>
      <c r="C85" t="e">
        <f>VLOOKUP(A85,sr[],2,FALSE)</f>
        <v>#N/A</v>
      </c>
      <c r="D85">
        <v>2</v>
      </c>
      <c r="E85">
        <v>2</v>
      </c>
      <c r="F85" t="s">
        <v>2572</v>
      </c>
      <c r="G85" t="s">
        <v>2560</v>
      </c>
      <c r="H85" t="str" cm="1">
        <f t="array" ref="H85">_xlfn.IFS(D85=E85,"x",ISBLANK(E85),"Blank", ISBLANK(D85), "Blank",D85&lt;&gt;E85," ")</f>
        <v>x</v>
      </c>
    </row>
    <row r="86" spans="1:8" x14ac:dyDescent="0.3">
      <c r="A86" t="str">
        <f>VLOOKUP(B86,lookup[],2,FALSE)</f>
        <v>SC_12_50004E</v>
      </c>
      <c r="B86" t="s">
        <v>1022</v>
      </c>
      <c r="C86">
        <f>VLOOKUP(A86,sr[],2,FALSE)</f>
        <v>2012</v>
      </c>
      <c r="D86">
        <v>3</v>
      </c>
      <c r="E86">
        <v>3</v>
      </c>
      <c r="F86" t="s">
        <v>2572</v>
      </c>
      <c r="H86" t="str" cm="1">
        <f t="array" ref="H86">_xlfn.IFS(D86=E86,"x",ISBLANK(E86),"Blank", ISBLANK(D86), "Blank",D86&lt;&gt;E86," ")</f>
        <v>x</v>
      </c>
    </row>
    <row r="87" spans="1:8" x14ac:dyDescent="0.3">
      <c r="A87" t="str">
        <f>VLOOKUP(B87,lookup[],2,FALSE)</f>
        <v>SC_12_50005E</v>
      </c>
      <c r="B87" t="s">
        <v>1024</v>
      </c>
      <c r="C87">
        <f>VLOOKUP(A87,sr[],2,FALSE)</f>
        <v>2012</v>
      </c>
      <c r="D87">
        <v>3</v>
      </c>
      <c r="E87">
        <v>3</v>
      </c>
      <c r="F87" t="s">
        <v>2572</v>
      </c>
      <c r="G87" t="s">
        <v>2560</v>
      </c>
      <c r="H87" t="str" cm="1">
        <f t="array" ref="H87">_xlfn.IFS(D87=E87,"x",ISBLANK(E87),"Blank", ISBLANK(D87), "Blank",D87&lt;&gt;E87," ")</f>
        <v>x</v>
      </c>
    </row>
    <row r="88" spans="1:8" x14ac:dyDescent="0.3">
      <c r="A88" t="str">
        <f>VLOOKUP(B88,lookup[],2,FALSE)</f>
        <v>SC_12_50006E</v>
      </c>
      <c r="B88" t="s">
        <v>1026</v>
      </c>
      <c r="C88">
        <f>VLOOKUP(A88,sr[],2,FALSE)</f>
        <v>2012</v>
      </c>
      <c r="D88">
        <v>3</v>
      </c>
      <c r="E88">
        <v>4</v>
      </c>
      <c r="F88" t="s">
        <v>2572</v>
      </c>
      <c r="G88" t="s">
        <v>2560</v>
      </c>
      <c r="H88" t="str" cm="1">
        <f t="array" ref="H88">_xlfn.IFS(D88=E88,"x",ISBLANK(E88),"Blank", ISBLANK(D88), "Blank",D88&lt;&gt;E88," ")</f>
        <v xml:space="preserve"> </v>
      </c>
    </row>
    <row r="89" spans="1:8" x14ac:dyDescent="0.3">
      <c r="A89" t="str">
        <f>VLOOKUP(B89,lookup[],2,FALSE)</f>
        <v>SC_12_50007E</v>
      </c>
      <c r="B89" t="s">
        <v>1028</v>
      </c>
      <c r="C89">
        <f>VLOOKUP(A89,sr[],2,FALSE)</f>
        <v>2012</v>
      </c>
      <c r="D89">
        <v>2</v>
      </c>
      <c r="E89">
        <v>3</v>
      </c>
      <c r="F89" t="s">
        <v>2572</v>
      </c>
      <c r="H89" t="str" cm="1">
        <f t="array" ref="H89">_xlfn.IFS(D89=E89,"x",ISBLANK(E89),"Blank", ISBLANK(D89), "Blank",D89&lt;&gt;E89," ")</f>
        <v xml:space="preserve"> </v>
      </c>
    </row>
    <row r="90" spans="1:8" x14ac:dyDescent="0.3">
      <c r="A90" t="str">
        <f>VLOOKUP(B90,lookup[],2,FALSE)</f>
        <v>SC_12_50008E</v>
      </c>
      <c r="B90" t="s">
        <v>1030</v>
      </c>
      <c r="C90">
        <f>VLOOKUP(A90,sr[],2,FALSE)</f>
        <v>2012</v>
      </c>
      <c r="D90">
        <v>2</v>
      </c>
      <c r="F90" t="s">
        <v>2572</v>
      </c>
      <c r="H90" t="str" cm="1">
        <f t="array" ref="H90">_xlfn.IFS(D90=E90,"x",ISBLANK(E90),"Blank", ISBLANK(D90), "Blank",D90&lt;&gt;E90," ")</f>
        <v>Blank</v>
      </c>
    </row>
    <row r="91" spans="1:8" x14ac:dyDescent="0.3">
      <c r="A91" t="str">
        <f>VLOOKUP(B91,lookup[],2,FALSE)</f>
        <v>SC_12_50009E</v>
      </c>
      <c r="B91" t="s">
        <v>1032</v>
      </c>
      <c r="C91">
        <f>VLOOKUP(A91,sr[],2,FALSE)</f>
        <v>2012</v>
      </c>
      <c r="D91">
        <v>3</v>
      </c>
      <c r="E91">
        <v>2</v>
      </c>
      <c r="F91" t="s">
        <v>2572</v>
      </c>
      <c r="H91" t="str" cm="1">
        <f t="array" ref="H91">_xlfn.IFS(D91=E91,"x",ISBLANK(E91),"Blank", ISBLANK(D91), "Blank",D91&lt;&gt;E91," ")</f>
        <v xml:space="preserve"> </v>
      </c>
    </row>
    <row r="92" spans="1:8" x14ac:dyDescent="0.3">
      <c r="A92" t="str">
        <f>VLOOKUP(B92,lookup[],2,FALSE)</f>
        <v>SC_12_50012E</v>
      </c>
      <c r="B92" t="s">
        <v>1034</v>
      </c>
      <c r="C92">
        <f>VLOOKUP(A92,sr[],2,FALSE)</f>
        <v>2012</v>
      </c>
      <c r="D92">
        <v>3</v>
      </c>
      <c r="F92" t="s">
        <v>2572</v>
      </c>
      <c r="G92" t="s">
        <v>2558</v>
      </c>
      <c r="H92" t="str" cm="1">
        <f t="array" ref="H92">_xlfn.IFS(D92=E92,"x",ISBLANK(E92),"Blank", ISBLANK(D92), "Blank",D92&lt;&gt;E92," ")</f>
        <v>Blank</v>
      </c>
    </row>
    <row r="93" spans="1:8" x14ac:dyDescent="0.3">
      <c r="A93" t="str">
        <f>VLOOKUP(B93,lookup[],2,FALSE)</f>
        <v>SC_12_50013E</v>
      </c>
      <c r="B93" t="s">
        <v>1036</v>
      </c>
      <c r="C93">
        <f>VLOOKUP(A93,sr[],2,FALSE)</f>
        <v>2012</v>
      </c>
      <c r="D93">
        <v>3</v>
      </c>
      <c r="E93">
        <v>3</v>
      </c>
      <c r="F93" t="s">
        <v>2572</v>
      </c>
      <c r="H93" t="str" cm="1">
        <f t="array" ref="H93">_xlfn.IFS(D93=E93,"x",ISBLANK(E93),"Blank", ISBLANK(D93), "Blank",D93&lt;&gt;E93," ")</f>
        <v>x</v>
      </c>
    </row>
    <row r="94" spans="1:8" x14ac:dyDescent="0.3">
      <c r="A94" t="str">
        <f>VLOOKUP(B94,lookup[],2,FALSE)</f>
        <v>SC_12_50014E</v>
      </c>
      <c r="B94" t="s">
        <v>1038</v>
      </c>
      <c r="C94">
        <f>VLOOKUP(A94,sr[],2,FALSE)</f>
        <v>2012</v>
      </c>
      <c r="D94">
        <v>3</v>
      </c>
      <c r="E94">
        <v>3</v>
      </c>
      <c r="F94" t="s">
        <v>2572</v>
      </c>
      <c r="H94" t="str" cm="1">
        <f t="array" ref="H94">_xlfn.IFS(D94=E94,"x",ISBLANK(E94),"Blank", ISBLANK(D94), "Blank",D94&lt;&gt;E94," ")</f>
        <v>x</v>
      </c>
    </row>
    <row r="95" spans="1:8" x14ac:dyDescent="0.3">
      <c r="A95" t="str">
        <f>VLOOKUP(B95,lookup[],2,FALSE)</f>
        <v>SC_12_50015E</v>
      </c>
      <c r="B95" t="s">
        <v>1040</v>
      </c>
      <c r="C95">
        <f>VLOOKUP(A95,sr[],2,FALSE)</f>
        <v>2012</v>
      </c>
      <c r="D95">
        <v>2</v>
      </c>
      <c r="E95">
        <v>3</v>
      </c>
      <c r="F95" t="s">
        <v>2572</v>
      </c>
      <c r="H95" t="str" cm="1">
        <f t="array" ref="H95">_xlfn.IFS(D95=E95,"x",ISBLANK(E95),"Blank", ISBLANK(D95), "Blank",D95&lt;&gt;E95," ")</f>
        <v xml:space="preserve"> </v>
      </c>
    </row>
    <row r="96" spans="1:8" x14ac:dyDescent="0.3">
      <c r="A96" t="str">
        <f>VLOOKUP(B96,lookup[],2,FALSE)</f>
        <v>SC_12_50017E</v>
      </c>
      <c r="B96" t="s">
        <v>1042</v>
      </c>
      <c r="C96">
        <f>VLOOKUP(A96,sr[],2,FALSE)</f>
        <v>2012</v>
      </c>
      <c r="D96">
        <v>3</v>
      </c>
      <c r="E96">
        <v>3</v>
      </c>
      <c r="F96" t="s">
        <v>2572</v>
      </c>
      <c r="H96" t="str" cm="1">
        <f t="array" ref="H96">_xlfn.IFS(D96=E96,"x",ISBLANK(E96),"Blank", ISBLANK(D96), "Blank",D96&lt;&gt;E96," ")</f>
        <v>x</v>
      </c>
    </row>
    <row r="97" spans="1:8" x14ac:dyDescent="0.3">
      <c r="A97" t="str">
        <f>VLOOKUP(B97,lookup[],2,FALSE)</f>
        <v>SC_12_50018E</v>
      </c>
      <c r="B97" t="s">
        <v>1044</v>
      </c>
      <c r="C97">
        <f>VLOOKUP(A97,sr[],2,FALSE)</f>
        <v>2012</v>
      </c>
      <c r="D97">
        <v>3</v>
      </c>
      <c r="E97">
        <v>3</v>
      </c>
      <c r="F97" t="s">
        <v>2572</v>
      </c>
      <c r="H97" t="str" cm="1">
        <f t="array" ref="H97">_xlfn.IFS(D97=E97,"x",ISBLANK(E97),"Blank", ISBLANK(D97), "Blank",D97&lt;&gt;E97," ")</f>
        <v>x</v>
      </c>
    </row>
    <row r="98" spans="1:8" x14ac:dyDescent="0.3">
      <c r="A98" t="str">
        <f>VLOOKUP(B98,lookup[],2,FALSE)</f>
        <v>SC_12_50019E</v>
      </c>
      <c r="B98" t="s">
        <v>1046</v>
      </c>
      <c r="C98">
        <f>VLOOKUP(A98,sr[],2,FALSE)</f>
        <v>2012</v>
      </c>
      <c r="D98">
        <v>3</v>
      </c>
      <c r="E98">
        <v>3</v>
      </c>
      <c r="F98" t="s">
        <v>2572</v>
      </c>
      <c r="H98" t="str" cm="1">
        <f t="array" ref="H98">_xlfn.IFS(D98=E98,"x",ISBLANK(E98),"Blank", ISBLANK(D98), "Blank",D98&lt;&gt;E98," ")</f>
        <v>x</v>
      </c>
    </row>
    <row r="99" spans="1:8" x14ac:dyDescent="0.3">
      <c r="A99" t="str">
        <f>VLOOKUP(B99,lookup[],2,FALSE)</f>
        <v>SC_12_50020E</v>
      </c>
      <c r="B99" t="s">
        <v>1048</v>
      </c>
      <c r="C99">
        <f>VLOOKUP(A99,sr[],2,FALSE)</f>
        <v>2012</v>
      </c>
      <c r="D99">
        <v>3</v>
      </c>
      <c r="E99">
        <v>3</v>
      </c>
      <c r="F99" t="s">
        <v>2572</v>
      </c>
      <c r="H99" t="str" cm="1">
        <f t="array" ref="H99">_xlfn.IFS(D99=E99,"x",ISBLANK(E99),"Blank", ISBLANK(D99), "Blank",D99&lt;&gt;E99," ")</f>
        <v>x</v>
      </c>
    </row>
    <row r="100" spans="1:8" x14ac:dyDescent="0.3">
      <c r="A100" t="str">
        <f>VLOOKUP(B100,lookup[],2,FALSE)</f>
        <v>SC_12_50021E</v>
      </c>
      <c r="B100" t="s">
        <v>1050</v>
      </c>
      <c r="C100">
        <f>VLOOKUP(A100,sr[],2,FALSE)</f>
        <v>2012</v>
      </c>
      <c r="D100">
        <v>2</v>
      </c>
      <c r="E100">
        <v>2</v>
      </c>
      <c r="F100" t="s">
        <v>2572</v>
      </c>
      <c r="H100" t="str" cm="1">
        <f t="array" ref="H100">_xlfn.IFS(D100=E100,"x",ISBLANK(E100),"Blank", ISBLANK(D100), "Blank",D100&lt;&gt;E100," ")</f>
        <v>x</v>
      </c>
    </row>
    <row r="101" spans="1:8" x14ac:dyDescent="0.3">
      <c r="A101" t="str">
        <f>VLOOKUP(B101,lookup[],2,FALSE)</f>
        <v>SC_12_50022E</v>
      </c>
      <c r="B101" t="s">
        <v>1052</v>
      </c>
      <c r="C101">
        <f>VLOOKUP(A101,sr[],2,FALSE)</f>
        <v>2012</v>
      </c>
      <c r="D101">
        <v>2</v>
      </c>
      <c r="E101">
        <v>2</v>
      </c>
      <c r="F101" t="s">
        <v>2572</v>
      </c>
      <c r="H101" t="str" cm="1">
        <f t="array" ref="H101">_xlfn.IFS(D101=E101,"x",ISBLANK(E101),"Blank", ISBLANK(D101), "Blank",D101&lt;&gt;E101," ")</f>
        <v>x</v>
      </c>
    </row>
    <row r="102" spans="1:8" x14ac:dyDescent="0.3">
      <c r="A102" t="str">
        <f>VLOOKUP(B102,lookup[],2,FALSE)</f>
        <v>SC_12_50023E</v>
      </c>
      <c r="B102" t="s">
        <v>1054</v>
      </c>
      <c r="C102">
        <f>VLOOKUP(A102,sr[],2,FALSE)</f>
        <v>2012</v>
      </c>
      <c r="D102">
        <v>2</v>
      </c>
      <c r="E102">
        <v>2</v>
      </c>
      <c r="F102" t="s">
        <v>2572</v>
      </c>
      <c r="H102" t="str" cm="1">
        <f t="array" ref="H102">_xlfn.IFS(D102=E102,"x",ISBLANK(E102),"Blank", ISBLANK(D102), "Blank",D102&lt;&gt;E102," ")</f>
        <v>x</v>
      </c>
    </row>
    <row r="103" spans="1:8" x14ac:dyDescent="0.3">
      <c r="A103" t="str">
        <f>VLOOKUP(B103,lookup[],2,FALSE)</f>
        <v>SC_12_50024E</v>
      </c>
      <c r="B103" t="s">
        <v>1056</v>
      </c>
      <c r="C103">
        <f>VLOOKUP(A103,sr[],2,FALSE)</f>
        <v>2012</v>
      </c>
      <c r="D103">
        <v>3</v>
      </c>
      <c r="E103">
        <v>3</v>
      </c>
      <c r="F103" t="s">
        <v>2572</v>
      </c>
      <c r="H103" t="str" cm="1">
        <f t="array" ref="H103">_xlfn.IFS(D103=E103,"x",ISBLANK(E103),"Blank", ISBLANK(D103), "Blank",D103&lt;&gt;E103," ")</f>
        <v>x</v>
      </c>
    </row>
    <row r="104" spans="1:8" x14ac:dyDescent="0.3">
      <c r="A104" t="str">
        <f>VLOOKUP(B104,lookup[],2,FALSE)</f>
        <v>SC_12_50025E</v>
      </c>
      <c r="B104" t="s">
        <v>1058</v>
      </c>
      <c r="C104">
        <f>VLOOKUP(A104,sr[],2,FALSE)</f>
        <v>2012</v>
      </c>
      <c r="D104">
        <v>3</v>
      </c>
      <c r="E104">
        <v>3</v>
      </c>
      <c r="F104" t="s">
        <v>2572</v>
      </c>
      <c r="H104" t="str" cm="1">
        <f t="array" ref="H104">_xlfn.IFS(D104=E104,"x",ISBLANK(E104),"Blank", ISBLANK(D104), "Blank",D104&lt;&gt;E104," ")</f>
        <v>x</v>
      </c>
    </row>
    <row r="105" spans="1:8" x14ac:dyDescent="0.3">
      <c r="A105" t="str">
        <f>VLOOKUP(B105,lookup[],2,FALSE)</f>
        <v>SC_12_50026E</v>
      </c>
      <c r="B105" t="s">
        <v>1060</v>
      </c>
      <c r="C105">
        <f>VLOOKUP(A105,sr[],2,FALSE)</f>
        <v>2012</v>
      </c>
      <c r="F105" t="s">
        <v>2572</v>
      </c>
      <c r="G105" t="s">
        <v>2561</v>
      </c>
    </row>
    <row r="106" spans="1:8" x14ac:dyDescent="0.3">
      <c r="A106" t="str">
        <f>VLOOKUP(B106,lookup[],2,FALSE)</f>
        <v>SC_12_50027E</v>
      </c>
      <c r="B106" t="s">
        <v>1062</v>
      </c>
      <c r="C106">
        <f>VLOOKUP(A106,sr[],2,FALSE)</f>
        <v>2012</v>
      </c>
      <c r="D106">
        <v>2</v>
      </c>
      <c r="E106">
        <v>2</v>
      </c>
      <c r="F106" t="s">
        <v>2572</v>
      </c>
      <c r="H106" t="str" cm="1">
        <f t="array" ref="H106">_xlfn.IFS(D106=E106,"x",ISBLANK(E106),"Blank", ISBLANK(D106), "Blank",D106&lt;&gt;E106," ")</f>
        <v>x</v>
      </c>
    </row>
    <row r="107" spans="1:8" x14ac:dyDescent="0.3">
      <c r="A107" t="str">
        <f>VLOOKUP(B107,lookup[],2,FALSE)</f>
        <v>SC_12_50028E</v>
      </c>
      <c r="B107" t="s">
        <v>1064</v>
      </c>
      <c r="C107">
        <f>VLOOKUP(A107,sr[],2,FALSE)</f>
        <v>2012</v>
      </c>
      <c r="D107">
        <v>3</v>
      </c>
      <c r="E107">
        <v>2</v>
      </c>
      <c r="F107" t="s">
        <v>2572</v>
      </c>
      <c r="H107" t="str" cm="1">
        <f t="array" ref="H107">_xlfn.IFS(D107=E107,"x",ISBLANK(E107),"Blank", ISBLANK(D107), "Blank",D107&lt;&gt;E107," ")</f>
        <v xml:space="preserve"> </v>
      </c>
    </row>
    <row r="108" spans="1:8" x14ac:dyDescent="0.3">
      <c r="A108" t="str">
        <f>VLOOKUP(B108,lookup[],2,FALSE)</f>
        <v>SC_12_50029E</v>
      </c>
      <c r="B108" t="s">
        <v>1066</v>
      </c>
      <c r="C108">
        <f>VLOOKUP(A108,sr[],2,FALSE)</f>
        <v>2012</v>
      </c>
      <c r="D108">
        <v>3</v>
      </c>
      <c r="E108">
        <v>3</v>
      </c>
      <c r="F108" t="s">
        <v>2572</v>
      </c>
      <c r="H108" t="str" cm="1">
        <f t="array" ref="H108">_xlfn.IFS(D108=E108,"x",ISBLANK(E108),"Blank", ISBLANK(D108), "Blank",D108&lt;&gt;E108," ")</f>
        <v>x</v>
      </c>
    </row>
    <row r="109" spans="1:8" x14ac:dyDescent="0.3">
      <c r="A109" t="str">
        <f>VLOOKUP(B109,lookup[],2,FALSE)</f>
        <v>SC_12_50030E</v>
      </c>
      <c r="B109" t="s">
        <v>1068</v>
      </c>
      <c r="C109">
        <f>VLOOKUP(A109,sr[],2,FALSE)</f>
        <v>2012</v>
      </c>
      <c r="D109">
        <v>4</v>
      </c>
      <c r="E109">
        <v>3</v>
      </c>
      <c r="F109" t="s">
        <v>2572</v>
      </c>
      <c r="H109" t="str" cm="1">
        <f t="array" ref="H109">_xlfn.IFS(D109=E109,"x",ISBLANK(E109),"Blank", ISBLANK(D109), "Blank",D109&lt;&gt;E109," ")</f>
        <v xml:space="preserve"> </v>
      </c>
    </row>
    <row r="110" spans="1:8" x14ac:dyDescent="0.3">
      <c r="A110" t="str">
        <f>VLOOKUP(B110,lookup[],2,FALSE)</f>
        <v>SC_12_50031E</v>
      </c>
      <c r="B110" t="s">
        <v>1070</v>
      </c>
      <c r="C110">
        <f>VLOOKUP(A110,sr[],2,FALSE)</f>
        <v>2012</v>
      </c>
      <c r="D110">
        <v>2</v>
      </c>
      <c r="E110">
        <v>2</v>
      </c>
      <c r="F110" t="s">
        <v>2572</v>
      </c>
      <c r="G110" t="s">
        <v>2560</v>
      </c>
      <c r="H110" t="str" cm="1">
        <f t="array" ref="H110">_xlfn.IFS(D110=E110,"x",ISBLANK(E110),"Blank", ISBLANK(D110), "Blank",D110&lt;&gt;E110," ")</f>
        <v>x</v>
      </c>
    </row>
    <row r="111" spans="1:8" x14ac:dyDescent="0.3">
      <c r="A111" t="str">
        <f>VLOOKUP(B111,lookup[],2,FALSE)</f>
        <v>SC_12_50032E</v>
      </c>
      <c r="B111" t="s">
        <v>1072</v>
      </c>
      <c r="C111">
        <f>VLOOKUP(A111,sr[],2,FALSE)</f>
        <v>2012</v>
      </c>
      <c r="D111">
        <v>3</v>
      </c>
      <c r="E111">
        <v>2</v>
      </c>
      <c r="F111" t="s">
        <v>2572</v>
      </c>
      <c r="H111" t="str" cm="1">
        <f t="array" ref="H111">_xlfn.IFS(D111=E111,"x",ISBLANK(E111),"Blank", ISBLANK(D111), "Blank",D111&lt;&gt;E111," ")</f>
        <v xml:space="preserve"> </v>
      </c>
    </row>
    <row r="112" spans="1:8" x14ac:dyDescent="0.3">
      <c r="A112" t="str">
        <f>VLOOKUP(B112,lookup[],2,FALSE)</f>
        <v>SC_12_50033E</v>
      </c>
      <c r="B112" t="s">
        <v>1074</v>
      </c>
      <c r="C112">
        <f>VLOOKUP(A112,sr[],2,FALSE)</f>
        <v>2012</v>
      </c>
      <c r="D112">
        <v>3</v>
      </c>
      <c r="E112">
        <v>3</v>
      </c>
      <c r="F112" t="s">
        <v>2572</v>
      </c>
      <c r="G112" t="s">
        <v>2560</v>
      </c>
      <c r="H112" t="str" cm="1">
        <f t="array" ref="H112">_xlfn.IFS(D112=E112,"x",ISBLANK(E112),"Blank", ISBLANK(D112), "Blank",D112&lt;&gt;E112," ")</f>
        <v>x</v>
      </c>
    </row>
    <row r="113" spans="1:8" x14ac:dyDescent="0.3">
      <c r="A113" t="str">
        <f>VLOOKUP(B113,lookup[],2,FALSE)</f>
        <v>SC_12_50034E</v>
      </c>
      <c r="B113" t="s">
        <v>1076</v>
      </c>
      <c r="C113">
        <f>VLOOKUP(A113,sr[],2,FALSE)</f>
        <v>2012</v>
      </c>
      <c r="D113">
        <v>3</v>
      </c>
      <c r="E113">
        <v>4</v>
      </c>
      <c r="F113" t="s">
        <v>2572</v>
      </c>
      <c r="H113" t="str" cm="1">
        <f t="array" ref="H113">_xlfn.IFS(D113=E113,"x",ISBLANK(E113),"Blank", ISBLANK(D113), "Blank",D113&lt;&gt;E113," ")</f>
        <v xml:space="preserve"> </v>
      </c>
    </row>
    <row r="114" spans="1:8" x14ac:dyDescent="0.3">
      <c r="A114" t="str">
        <f>VLOOKUP(B114,lookup[],2,FALSE)</f>
        <v>SC_12_50036E</v>
      </c>
      <c r="B114" t="s">
        <v>1078</v>
      </c>
      <c r="C114">
        <f>VLOOKUP(A114,sr[],2,FALSE)</f>
        <v>2012</v>
      </c>
      <c r="D114">
        <v>3</v>
      </c>
      <c r="E114">
        <v>3</v>
      </c>
      <c r="F114" t="s">
        <v>2572</v>
      </c>
      <c r="G114" t="s">
        <v>2560</v>
      </c>
      <c r="H114" t="str" cm="1">
        <f t="array" ref="H114">_xlfn.IFS(D114=E114,"x",ISBLANK(E114),"Blank", ISBLANK(D114), "Blank",D114&lt;&gt;E114," ")</f>
        <v>x</v>
      </c>
    </row>
    <row r="115" spans="1:8" x14ac:dyDescent="0.3">
      <c r="A115" t="str">
        <f>VLOOKUP(B115,lookup[],2,FALSE)</f>
        <v>SC_12_50037E</v>
      </c>
      <c r="B115" t="s">
        <v>1080</v>
      </c>
      <c r="C115" t="e">
        <f>VLOOKUP(A115,sr[],2,FALSE)</f>
        <v>#N/A</v>
      </c>
      <c r="D115">
        <v>3</v>
      </c>
      <c r="E115">
        <v>3</v>
      </c>
      <c r="F115" t="s">
        <v>2572</v>
      </c>
      <c r="H115" t="str" cm="1">
        <f t="array" ref="H115">_xlfn.IFS(D115=E115,"x",ISBLANK(E115),"Blank", ISBLANK(D115), "Blank",D115&lt;&gt;E115," ")</f>
        <v>x</v>
      </c>
    </row>
    <row r="116" spans="1:8" x14ac:dyDescent="0.3">
      <c r="A116" t="str">
        <f>VLOOKUP(B116,lookup[],2,FALSE)</f>
        <v>SC_12_50038E</v>
      </c>
      <c r="B116" t="s">
        <v>1082</v>
      </c>
      <c r="C116">
        <f>VLOOKUP(A116,sr[],2,FALSE)</f>
        <v>2012</v>
      </c>
      <c r="D116">
        <v>3</v>
      </c>
      <c r="E116">
        <v>3</v>
      </c>
      <c r="F116" t="s">
        <v>2572</v>
      </c>
      <c r="H116" t="str" cm="1">
        <f t="array" ref="H116">_xlfn.IFS(D116=E116,"x",ISBLANK(E116),"Blank", ISBLANK(D116), "Blank",D116&lt;&gt;E116," ")</f>
        <v>x</v>
      </c>
    </row>
    <row r="117" spans="1:8" x14ac:dyDescent="0.3">
      <c r="A117" t="str">
        <f>VLOOKUP(B117,lookup[],2,FALSE)</f>
        <v>SC_12_50039E</v>
      </c>
      <c r="B117" t="s">
        <v>1084</v>
      </c>
      <c r="C117">
        <f>VLOOKUP(A117,sr[],2,FALSE)</f>
        <v>2012</v>
      </c>
      <c r="D117">
        <v>3</v>
      </c>
      <c r="E117">
        <v>3</v>
      </c>
      <c r="F117" t="s">
        <v>2572</v>
      </c>
      <c r="H117" t="str" cm="1">
        <f t="array" ref="H117">_xlfn.IFS(D117=E117,"x",ISBLANK(E117),"Blank", ISBLANK(D117), "Blank",D117&lt;&gt;E117," ")</f>
        <v>x</v>
      </c>
    </row>
    <row r="118" spans="1:8" x14ac:dyDescent="0.3">
      <c r="A118" t="str">
        <f>VLOOKUP(B118,lookup[],2,FALSE)</f>
        <v>SC_12_50040E</v>
      </c>
      <c r="B118" t="s">
        <v>1086</v>
      </c>
      <c r="C118">
        <f>VLOOKUP(A118,sr[],2,FALSE)</f>
        <v>2012</v>
      </c>
      <c r="D118">
        <v>2</v>
      </c>
      <c r="E118">
        <v>3</v>
      </c>
      <c r="F118" t="s">
        <v>2572</v>
      </c>
      <c r="G118" t="s">
        <v>2564</v>
      </c>
      <c r="H118" t="str" cm="1">
        <f t="array" ref="H118">_xlfn.IFS(D118=E118,"x",ISBLANK(E118),"Blank", ISBLANK(D118), "Blank",D118&lt;&gt;E118," ")</f>
        <v xml:space="preserve"> </v>
      </c>
    </row>
    <row r="119" spans="1:8" x14ac:dyDescent="0.3">
      <c r="A119" t="str">
        <f>VLOOKUP(B119,lookup[],2,FALSE)</f>
        <v>SC_12_50041E</v>
      </c>
      <c r="B119" t="s">
        <v>1088</v>
      </c>
      <c r="C119">
        <f>VLOOKUP(A119,sr[],2,FALSE)</f>
        <v>2012</v>
      </c>
      <c r="E119">
        <v>2</v>
      </c>
      <c r="F119" t="s">
        <v>2572</v>
      </c>
      <c r="G119" t="s">
        <v>2565</v>
      </c>
      <c r="H119" t="str" cm="1">
        <f t="array" ref="H119">_xlfn.IFS(D119=E119,"x",ISBLANK(E119),"Blank", ISBLANK(D119), "Blank",D119&lt;&gt;E119," ")</f>
        <v>Blank</v>
      </c>
    </row>
    <row r="120" spans="1:8" x14ac:dyDescent="0.3">
      <c r="A120" t="str">
        <f>VLOOKUP(B120,lookup[],2,FALSE)</f>
        <v>SC_12_50042E</v>
      </c>
      <c r="B120" t="s">
        <v>1090</v>
      </c>
      <c r="C120">
        <f>VLOOKUP(A120,sr[],2,FALSE)</f>
        <v>2012</v>
      </c>
      <c r="D120">
        <v>3</v>
      </c>
      <c r="E120">
        <v>3</v>
      </c>
      <c r="F120" t="s">
        <v>2572</v>
      </c>
      <c r="H120" t="str" cm="1">
        <f t="array" ref="H120">_xlfn.IFS(D120=E120,"x",ISBLANK(E120),"Blank", ISBLANK(D120), "Blank",D120&lt;&gt;E120," ")</f>
        <v>x</v>
      </c>
    </row>
    <row r="121" spans="1:8" x14ac:dyDescent="0.3">
      <c r="A121" t="str">
        <f>VLOOKUP(B121,lookup[],2,FALSE)</f>
        <v>SC_12_50043E</v>
      </c>
      <c r="B121" t="s">
        <v>1092</v>
      </c>
      <c r="C121">
        <f>VLOOKUP(A121,sr[],2,FALSE)</f>
        <v>2012</v>
      </c>
      <c r="D121">
        <v>3</v>
      </c>
      <c r="E121">
        <v>3</v>
      </c>
      <c r="F121" t="s">
        <v>2572</v>
      </c>
      <c r="H121" t="str" cm="1">
        <f t="array" ref="H121">_xlfn.IFS(D121=E121,"x",ISBLANK(E121),"Blank", ISBLANK(D121), "Blank",D121&lt;&gt;E121," ")</f>
        <v>x</v>
      </c>
    </row>
    <row r="122" spans="1:8" x14ac:dyDescent="0.3">
      <c r="A122" t="str">
        <f>VLOOKUP(B122,lookup[],2,FALSE)</f>
        <v>SC_12_50044E</v>
      </c>
      <c r="B122" t="s">
        <v>1094</v>
      </c>
      <c r="C122">
        <f>VLOOKUP(A122,sr[],2,FALSE)</f>
        <v>2012</v>
      </c>
      <c r="D122">
        <v>3</v>
      </c>
      <c r="E122">
        <v>3</v>
      </c>
      <c r="F122" t="s">
        <v>2572</v>
      </c>
      <c r="H122" t="str" cm="1">
        <f t="array" ref="H122">_xlfn.IFS(D122=E122,"x",ISBLANK(E122),"Blank", ISBLANK(D122), "Blank",D122&lt;&gt;E122," ")</f>
        <v>x</v>
      </c>
    </row>
    <row r="123" spans="1:8" x14ac:dyDescent="0.3">
      <c r="A123" t="str">
        <f>VLOOKUP(B123,lookup[],2,FALSE)</f>
        <v>SC_12_50045E</v>
      </c>
      <c r="B123" t="s">
        <v>1096</v>
      </c>
      <c r="C123">
        <f>VLOOKUP(A123,sr[],2,FALSE)</f>
        <v>2012</v>
      </c>
      <c r="F123" t="s">
        <v>2572</v>
      </c>
      <c r="G123" t="s">
        <v>2562</v>
      </c>
    </row>
    <row r="124" spans="1:8" x14ac:dyDescent="0.3">
      <c r="A124" t="str">
        <f>VLOOKUP(B124,lookup[],2,FALSE)</f>
        <v>SC_12_50046E</v>
      </c>
      <c r="B124" t="s">
        <v>1098</v>
      </c>
      <c r="C124">
        <f>VLOOKUP(A124,sr[],2,FALSE)</f>
        <v>2012</v>
      </c>
      <c r="D124">
        <v>3</v>
      </c>
      <c r="E124">
        <v>3</v>
      </c>
      <c r="F124" t="s">
        <v>2572</v>
      </c>
      <c r="H124" t="str" cm="1">
        <f t="array" ref="H124">_xlfn.IFS(D124=E124,"x",ISBLANK(E124),"Blank", ISBLANK(D124), "Blank",D124&lt;&gt;E124," ")</f>
        <v>x</v>
      </c>
    </row>
    <row r="125" spans="1:8" x14ac:dyDescent="0.3">
      <c r="A125" t="str">
        <f>VLOOKUP(B125,lookup[],2,FALSE)</f>
        <v>SC_12_50047E</v>
      </c>
      <c r="B125" t="s">
        <v>1100</v>
      </c>
      <c r="C125">
        <f>VLOOKUP(A125,sr[],2,FALSE)</f>
        <v>2012</v>
      </c>
      <c r="D125">
        <v>3</v>
      </c>
      <c r="E125">
        <v>3</v>
      </c>
      <c r="F125" t="s">
        <v>2572</v>
      </c>
      <c r="H125" t="str" cm="1">
        <f t="array" ref="H125">_xlfn.IFS(D125=E125,"x",ISBLANK(E125),"Blank", ISBLANK(D125), "Blank",D125&lt;&gt;E125," ")</f>
        <v>x</v>
      </c>
    </row>
    <row r="126" spans="1:8" x14ac:dyDescent="0.3">
      <c r="A126" t="str">
        <f>VLOOKUP(B126,lookup[],2,FALSE)</f>
        <v>SC_12_50049E</v>
      </c>
      <c r="B126" t="s">
        <v>1102</v>
      </c>
      <c r="C126">
        <f>VLOOKUP(A126,sr[],2,FALSE)</f>
        <v>2012</v>
      </c>
      <c r="E126">
        <v>4</v>
      </c>
      <c r="F126" t="s">
        <v>2572</v>
      </c>
      <c r="G126" t="s">
        <v>17</v>
      </c>
      <c r="H126" t="str" cm="1">
        <f t="array" ref="H126">_xlfn.IFS(D126=E126,"x",ISBLANK(E126),"Blank", ISBLANK(D126), "Blank",D126&lt;&gt;E126," ")</f>
        <v>Blank</v>
      </c>
    </row>
    <row r="127" spans="1:8" x14ac:dyDescent="0.3">
      <c r="A127" t="str">
        <f>VLOOKUP(B127,lookup[],2,FALSE)</f>
        <v>SC_12_50051E</v>
      </c>
      <c r="B127" t="s">
        <v>1104</v>
      </c>
      <c r="C127">
        <f>VLOOKUP(A127,sr[],2,FALSE)</f>
        <v>2012</v>
      </c>
      <c r="D127">
        <v>2</v>
      </c>
      <c r="F127" t="s">
        <v>2572</v>
      </c>
      <c r="H127" t="str" cm="1">
        <f t="array" ref="H127">_xlfn.IFS(D127=E127,"x",ISBLANK(E127),"Blank", ISBLANK(D127), "Blank",D127&lt;&gt;E127," ")</f>
        <v>Blank</v>
      </c>
    </row>
    <row r="128" spans="1:8" x14ac:dyDescent="0.3">
      <c r="A128" t="str">
        <f>VLOOKUP(B128,lookup[],2,FALSE)</f>
        <v>SC_12_50052E</v>
      </c>
      <c r="B128" t="s">
        <v>1106</v>
      </c>
      <c r="C128">
        <f>VLOOKUP(A128,sr[],2,FALSE)</f>
        <v>2012</v>
      </c>
      <c r="D128">
        <v>3</v>
      </c>
      <c r="E128">
        <v>3</v>
      </c>
      <c r="F128" t="s">
        <v>2572</v>
      </c>
      <c r="H128" t="str" cm="1">
        <f t="array" ref="H128">_xlfn.IFS(D128=E128,"x",ISBLANK(E128),"Blank", ISBLANK(D128), "Blank",D128&lt;&gt;E128," ")</f>
        <v>x</v>
      </c>
    </row>
    <row r="129" spans="1:8" x14ac:dyDescent="0.3">
      <c r="A129" t="str">
        <f>VLOOKUP(B129,lookup[],2,FALSE)</f>
        <v>SC_12_50053E</v>
      </c>
      <c r="B129" t="s">
        <v>1108</v>
      </c>
      <c r="C129">
        <f>VLOOKUP(A129,sr[],2,FALSE)</f>
        <v>2012</v>
      </c>
      <c r="D129">
        <v>3</v>
      </c>
      <c r="E129">
        <v>3</v>
      </c>
      <c r="F129" t="s">
        <v>2572</v>
      </c>
      <c r="H129" t="str" cm="1">
        <f t="array" ref="H129">_xlfn.IFS(D129=E129,"x",ISBLANK(E129),"Blank", ISBLANK(D129), "Blank",D129&lt;&gt;E129," ")</f>
        <v>x</v>
      </c>
    </row>
    <row r="130" spans="1:8" x14ac:dyDescent="0.3">
      <c r="A130" t="str">
        <f>VLOOKUP(B130,lookup[],2,FALSE)</f>
        <v>SC_12_50054E</v>
      </c>
      <c r="B130" t="s">
        <v>1110</v>
      </c>
      <c r="C130">
        <f>VLOOKUP(A130,sr[],2,FALSE)</f>
        <v>2012</v>
      </c>
      <c r="D130">
        <v>3</v>
      </c>
      <c r="E130">
        <v>3</v>
      </c>
      <c r="F130" t="s">
        <v>2572</v>
      </c>
      <c r="H130" t="str" cm="1">
        <f t="array" ref="H130">_xlfn.IFS(D130=E130,"x",ISBLANK(E130),"Blank", ISBLANK(D130), "Blank",D130&lt;&gt;E130," ")</f>
        <v>x</v>
      </c>
    </row>
    <row r="131" spans="1:8" x14ac:dyDescent="0.3">
      <c r="A131" t="str">
        <f>VLOOKUP(B131,lookup[],2,FALSE)</f>
        <v>SC_12_50055E</v>
      </c>
      <c r="B131" t="s">
        <v>1112</v>
      </c>
      <c r="C131">
        <f>VLOOKUP(A131,sr[],2,FALSE)</f>
        <v>2012</v>
      </c>
      <c r="D131">
        <v>3</v>
      </c>
      <c r="E131">
        <v>3</v>
      </c>
      <c r="F131" t="s">
        <v>2572</v>
      </c>
      <c r="H131" t="str" cm="1">
        <f t="array" ref="H131">_xlfn.IFS(D131=E131,"x",ISBLANK(E131),"Blank", ISBLANK(D131), "Blank",D131&lt;&gt;E131," ")</f>
        <v>x</v>
      </c>
    </row>
    <row r="132" spans="1:8" x14ac:dyDescent="0.3">
      <c r="A132" t="str">
        <f>VLOOKUP(B132,lookup[],2,FALSE)</f>
        <v>SC_12_50056E</v>
      </c>
      <c r="B132" t="s">
        <v>1114</v>
      </c>
      <c r="C132">
        <f>VLOOKUP(A132,sr[],2,FALSE)</f>
        <v>2012</v>
      </c>
      <c r="D132">
        <v>3</v>
      </c>
      <c r="E132">
        <v>3</v>
      </c>
      <c r="F132" t="s">
        <v>2572</v>
      </c>
      <c r="H132" t="str" cm="1">
        <f t="array" ref="H132">_xlfn.IFS(D132=E132,"x",ISBLANK(E132),"Blank", ISBLANK(D132), "Blank",D132&lt;&gt;E132," ")</f>
        <v>x</v>
      </c>
    </row>
    <row r="133" spans="1:8" x14ac:dyDescent="0.3">
      <c r="A133" t="str">
        <f>VLOOKUP(B133,lookup[],2,FALSE)</f>
        <v>SC_12_50057E</v>
      </c>
      <c r="B133" t="s">
        <v>1116</v>
      </c>
      <c r="C133">
        <f>VLOOKUP(A133,sr[],2,FALSE)</f>
        <v>2012</v>
      </c>
      <c r="D133">
        <v>3</v>
      </c>
      <c r="E133">
        <v>3</v>
      </c>
      <c r="F133" t="s">
        <v>2572</v>
      </c>
      <c r="H133" t="str" cm="1">
        <f t="array" ref="H133">_xlfn.IFS(D133=E133,"x",ISBLANK(E133),"Blank", ISBLANK(D133), "Blank",D133&lt;&gt;E133," ")</f>
        <v>x</v>
      </c>
    </row>
    <row r="134" spans="1:8" x14ac:dyDescent="0.3">
      <c r="A134" t="str">
        <f>VLOOKUP(B134,lookup[],2,FALSE)</f>
        <v>SC_12_50058E</v>
      </c>
      <c r="B134" t="s">
        <v>1118</v>
      </c>
      <c r="C134">
        <f>VLOOKUP(A134,sr[],2,FALSE)</f>
        <v>2012</v>
      </c>
      <c r="D134">
        <v>3</v>
      </c>
      <c r="E134">
        <v>3</v>
      </c>
      <c r="F134" t="s">
        <v>2572</v>
      </c>
      <c r="H134" t="str" cm="1">
        <f t="array" ref="H134">_xlfn.IFS(D134=E134,"x",ISBLANK(E134),"Blank", ISBLANK(D134), "Blank",D134&lt;&gt;E134," ")</f>
        <v>x</v>
      </c>
    </row>
    <row r="135" spans="1:8" x14ac:dyDescent="0.3">
      <c r="A135" t="str">
        <f>VLOOKUP(B135,lookup[],2,FALSE)</f>
        <v>SC_12_50059E</v>
      </c>
      <c r="B135" t="s">
        <v>1120</v>
      </c>
      <c r="C135">
        <f>VLOOKUP(A135,sr[],2,FALSE)</f>
        <v>2012</v>
      </c>
      <c r="D135">
        <v>4</v>
      </c>
      <c r="E135">
        <v>4</v>
      </c>
      <c r="F135" t="s">
        <v>2572</v>
      </c>
      <c r="H135" t="str" cm="1">
        <f t="array" ref="H135">_xlfn.IFS(D135=E135,"x",ISBLANK(E135),"Blank", ISBLANK(D135), "Blank",D135&lt;&gt;E135," ")</f>
        <v>x</v>
      </c>
    </row>
    <row r="136" spans="1:8" x14ac:dyDescent="0.3">
      <c r="A136" t="str">
        <f>VLOOKUP(B136,lookup[],2,FALSE)</f>
        <v>SC_12_50060E</v>
      </c>
      <c r="B136" t="s">
        <v>1122</v>
      </c>
      <c r="C136">
        <f>VLOOKUP(A136,sr[],2,FALSE)</f>
        <v>2012</v>
      </c>
      <c r="D136">
        <v>3</v>
      </c>
      <c r="E136">
        <v>3</v>
      </c>
      <c r="F136" t="s">
        <v>2572</v>
      </c>
      <c r="H136" t="str" cm="1">
        <f t="array" ref="H136">_xlfn.IFS(D136=E136,"x",ISBLANK(E136),"Blank", ISBLANK(D136), "Blank",D136&lt;&gt;E136," ")</f>
        <v>x</v>
      </c>
    </row>
    <row r="137" spans="1:8" x14ac:dyDescent="0.3">
      <c r="A137" t="str">
        <f>VLOOKUP(B137,lookup[],2,FALSE)</f>
        <v>SC_12_50064E</v>
      </c>
      <c r="B137" t="s">
        <v>1124</v>
      </c>
      <c r="C137">
        <f>VLOOKUP(A137,sr[],2,FALSE)</f>
        <v>2012</v>
      </c>
      <c r="E137">
        <v>2</v>
      </c>
      <c r="F137" t="s">
        <v>2572</v>
      </c>
      <c r="G137" t="s">
        <v>2566</v>
      </c>
      <c r="H137" t="str" cm="1">
        <f t="array" ref="H137">_xlfn.IFS(D137=E137,"x",ISBLANK(E137),"Blank", ISBLANK(D137), "Blank",D137&lt;&gt;E137," ")</f>
        <v>Blank</v>
      </c>
    </row>
    <row r="138" spans="1:8" x14ac:dyDescent="0.3">
      <c r="A138" t="str">
        <f>VLOOKUP(B138,lookup[],2,FALSE)</f>
        <v>SC_12_50065E</v>
      </c>
      <c r="B138" t="s">
        <v>1126</v>
      </c>
      <c r="C138">
        <f>VLOOKUP(A138,sr[],2,FALSE)</f>
        <v>2012</v>
      </c>
      <c r="D138">
        <v>3</v>
      </c>
      <c r="E138">
        <v>3</v>
      </c>
      <c r="F138" t="s">
        <v>2572</v>
      </c>
      <c r="H138" t="str" cm="1">
        <f t="array" ref="H138">_xlfn.IFS(D138=E138,"x",ISBLANK(E138),"Blank", ISBLANK(D138), "Blank",D138&lt;&gt;E138," ")</f>
        <v>x</v>
      </c>
    </row>
    <row r="139" spans="1:8" x14ac:dyDescent="0.3">
      <c r="A139" t="str">
        <f>VLOOKUP(B139,lookup[],2,FALSE)</f>
        <v>SC_12_50066E</v>
      </c>
      <c r="B139" t="s">
        <v>1128</v>
      </c>
      <c r="C139">
        <f>VLOOKUP(A139,sr[],2,FALSE)</f>
        <v>2012</v>
      </c>
      <c r="D139">
        <v>3</v>
      </c>
      <c r="E139">
        <v>3</v>
      </c>
      <c r="F139" t="s">
        <v>2572</v>
      </c>
      <c r="H139" t="str" cm="1">
        <f t="array" ref="H139">_xlfn.IFS(D139=E139,"x",ISBLANK(E139),"Blank", ISBLANK(D139), "Blank",D139&lt;&gt;E139," ")</f>
        <v>x</v>
      </c>
    </row>
    <row r="140" spans="1:8" x14ac:dyDescent="0.3">
      <c r="A140" t="str">
        <f>VLOOKUP(B140,lookup[],2,FALSE)</f>
        <v>SC_12_50067E</v>
      </c>
      <c r="B140" t="s">
        <v>1130</v>
      </c>
      <c r="C140">
        <f>VLOOKUP(A140,sr[],2,FALSE)</f>
        <v>2012</v>
      </c>
      <c r="D140">
        <v>2</v>
      </c>
      <c r="E140">
        <v>3</v>
      </c>
      <c r="F140" t="s">
        <v>2572</v>
      </c>
      <c r="H140" t="str" cm="1">
        <f t="array" ref="H140">_xlfn.IFS(D140=E140,"x",ISBLANK(E140),"Blank", ISBLANK(D140), "Blank",D140&lt;&gt;E140," ")</f>
        <v xml:space="preserve"> </v>
      </c>
    </row>
    <row r="141" spans="1:8" x14ac:dyDescent="0.3">
      <c r="A141" t="str">
        <f>VLOOKUP(B141,lookup[],2,FALSE)</f>
        <v>SC_12_50068E</v>
      </c>
      <c r="B141" t="s">
        <v>1132</v>
      </c>
      <c r="C141" t="e">
        <f>VLOOKUP(A141,sr[],2,FALSE)</f>
        <v>#N/A</v>
      </c>
      <c r="E141">
        <v>3</v>
      </c>
      <c r="F141" t="s">
        <v>2572</v>
      </c>
      <c r="G141" t="s">
        <v>17</v>
      </c>
      <c r="H141" t="str" cm="1">
        <f t="array" ref="H141">_xlfn.IFS(D141=E141,"x",ISBLANK(E141),"Blank", ISBLANK(D141), "Blank",D141&lt;&gt;E141," ")</f>
        <v>Blank</v>
      </c>
    </row>
    <row r="142" spans="1:8" x14ac:dyDescent="0.3">
      <c r="A142" t="str">
        <f>VLOOKUP(B142,lookup[],2,FALSE)</f>
        <v>SC_12_50071E</v>
      </c>
      <c r="B142" t="s">
        <v>1134</v>
      </c>
      <c r="C142">
        <f>VLOOKUP(A142,sr[],2,FALSE)</f>
        <v>2012</v>
      </c>
      <c r="D142">
        <v>3</v>
      </c>
      <c r="E142">
        <v>4</v>
      </c>
      <c r="F142" t="s">
        <v>2572</v>
      </c>
      <c r="H142" t="str" cm="1">
        <f t="array" ref="H142">_xlfn.IFS(D142=E142,"x",ISBLANK(E142),"Blank", ISBLANK(D142), "Blank",D142&lt;&gt;E142," ")</f>
        <v xml:space="preserve"> </v>
      </c>
    </row>
    <row r="143" spans="1:8" x14ac:dyDescent="0.3">
      <c r="A143" t="str">
        <f>VLOOKUP(B143,lookup[],2,FALSE)</f>
        <v>SC_12_50072E</v>
      </c>
      <c r="B143" t="s">
        <v>1136</v>
      </c>
      <c r="C143">
        <f>VLOOKUP(A143,sr[],2,FALSE)</f>
        <v>2012</v>
      </c>
      <c r="D143">
        <v>3</v>
      </c>
      <c r="E143">
        <v>3</v>
      </c>
      <c r="F143" t="s">
        <v>2572</v>
      </c>
      <c r="H143" t="str" cm="1">
        <f t="array" ref="H143">_xlfn.IFS(D143=E143,"x",ISBLANK(E143),"Blank", ISBLANK(D143), "Blank",D143&lt;&gt;E143," ")</f>
        <v>x</v>
      </c>
    </row>
    <row r="144" spans="1:8" x14ac:dyDescent="0.3">
      <c r="A144" t="str">
        <f>VLOOKUP(B144,lookup[],2,FALSE)</f>
        <v>SC_YUB_15353</v>
      </c>
      <c r="B144" t="s">
        <v>1878</v>
      </c>
      <c r="C144" t="e">
        <f>VLOOKUP(A144,sr[],2,FALSE)</f>
        <v>#N/A</v>
      </c>
      <c r="D144">
        <v>3</v>
      </c>
      <c r="E144">
        <v>3</v>
      </c>
      <c r="F144" t="s">
        <v>2572</v>
      </c>
      <c r="H144" t="str" cm="1">
        <f t="array" ref="H144">_xlfn.IFS(D144=E144,"x",ISBLANK(E144),"Blank", ISBLANK(D144), "Blank",D144&lt;&gt;E144," ")</f>
        <v>x</v>
      </c>
    </row>
    <row r="145" spans="1:8" x14ac:dyDescent="0.3">
      <c r="A145" t="str">
        <f>VLOOKUP(B145,lookup[],2,FALSE)</f>
        <v>SC_YUB_15301</v>
      </c>
      <c r="B145" t="s">
        <v>1836</v>
      </c>
      <c r="C145" t="e">
        <f>VLOOKUP(A145,sr[],2,FALSE)</f>
        <v>#N/A</v>
      </c>
      <c r="D145">
        <v>2</v>
      </c>
      <c r="E145">
        <v>3</v>
      </c>
      <c r="F145" t="s">
        <v>2572</v>
      </c>
      <c r="H145" t="str" cm="1">
        <f t="array" ref="H145">_xlfn.IFS(D145=E145,"x",ISBLANK(E145),"Blank", ISBLANK(D145), "Blank",D145&lt;&gt;E145," ")</f>
        <v xml:space="preserve"> </v>
      </c>
    </row>
    <row r="146" spans="1:8" x14ac:dyDescent="0.3">
      <c r="A146" t="str">
        <f>VLOOKUP(B146,lookup[],2,FALSE)</f>
        <v>SC_YUB_15302</v>
      </c>
      <c r="B146" t="s">
        <v>1838</v>
      </c>
      <c r="C146" t="e">
        <f>VLOOKUP(A146,sr[],2,FALSE)</f>
        <v>#N/A</v>
      </c>
      <c r="D146">
        <v>2</v>
      </c>
      <c r="E146">
        <v>2</v>
      </c>
      <c r="F146" t="s">
        <v>2572</v>
      </c>
      <c r="H146" t="str" cm="1">
        <f t="array" ref="H146">_xlfn.IFS(D146=E146,"x",ISBLANK(E146),"Blank", ISBLANK(D146), "Blank",D146&lt;&gt;E146," ")</f>
        <v>x</v>
      </c>
    </row>
    <row r="147" spans="1:8" x14ac:dyDescent="0.3">
      <c r="A147" t="str">
        <f>VLOOKUP(B147,lookup[],2,FALSE)</f>
        <v>SC_YUB_15303</v>
      </c>
      <c r="B147" t="s">
        <v>1840</v>
      </c>
      <c r="C147" t="e">
        <f>VLOOKUP(A147,sr[],2,FALSE)</f>
        <v>#N/A</v>
      </c>
      <c r="D147">
        <v>2</v>
      </c>
      <c r="E147">
        <v>3</v>
      </c>
      <c r="F147" t="s">
        <v>2572</v>
      </c>
      <c r="H147" t="str" cm="1">
        <f t="array" ref="H147">_xlfn.IFS(D147=E147,"x",ISBLANK(E147),"Blank", ISBLANK(D147), "Blank",D147&lt;&gt;E147," ")</f>
        <v xml:space="preserve"> </v>
      </c>
    </row>
    <row r="148" spans="1:8" x14ac:dyDescent="0.3">
      <c r="A148" t="str">
        <f>VLOOKUP(B148,lookup[],2,FALSE)</f>
        <v>SC_YUB_15304</v>
      </c>
      <c r="B148" t="s">
        <v>1842</v>
      </c>
      <c r="C148" t="e">
        <f>VLOOKUP(A148,sr[],2,FALSE)</f>
        <v>#N/A</v>
      </c>
      <c r="D148">
        <v>2</v>
      </c>
      <c r="E148">
        <v>4</v>
      </c>
      <c r="F148" t="s">
        <v>2572</v>
      </c>
      <c r="H148" t="str" cm="1">
        <f t="array" ref="H148">_xlfn.IFS(D148=E148,"x",ISBLANK(E148),"Blank", ISBLANK(D148), "Blank",D148&lt;&gt;E148," ")</f>
        <v xml:space="preserve"> </v>
      </c>
    </row>
    <row r="149" spans="1:8" x14ac:dyDescent="0.3">
      <c r="A149" t="str">
        <f>VLOOKUP(B149,lookup[],2,FALSE)</f>
        <v>SC_16_50000E</v>
      </c>
      <c r="B149" t="s">
        <v>1270</v>
      </c>
      <c r="C149" t="e">
        <f>VLOOKUP(A149,sr[],2,FALSE)</f>
        <v>#N/A</v>
      </c>
      <c r="D149">
        <v>3</v>
      </c>
      <c r="E149">
        <v>3</v>
      </c>
      <c r="F149" t="s">
        <v>2572</v>
      </c>
      <c r="H149" t="str" cm="1">
        <f t="array" ref="H149">_xlfn.IFS(D149=E149,"x",ISBLANK(E149),"Blank", ISBLANK(D149), "Blank",D149&lt;&gt;E149," ")</f>
        <v>x</v>
      </c>
    </row>
    <row r="150" spans="1:8" x14ac:dyDescent="0.3">
      <c r="A150" t="str">
        <f>VLOOKUP(B150,lookup[],2,FALSE)</f>
        <v>SC_18_50000E</v>
      </c>
      <c r="B150" t="s">
        <v>1272</v>
      </c>
      <c r="C150">
        <f>VLOOKUP(A150,sr[],2,FALSE)</f>
        <v>2018</v>
      </c>
      <c r="D150">
        <v>3</v>
      </c>
      <c r="E150">
        <v>3</v>
      </c>
      <c r="F150" t="s">
        <v>2572</v>
      </c>
      <c r="H150" t="str" cm="1">
        <f t="array" ref="H150">_xlfn.IFS(D150=E150,"x",ISBLANK(E150),"Blank", ISBLANK(D150), "Blank",D150&lt;&gt;E150," ")</f>
        <v>x</v>
      </c>
    </row>
    <row r="151" spans="1:8" x14ac:dyDescent="0.3">
      <c r="A151" t="str">
        <f>VLOOKUP(B151,lookup[],2,FALSE)</f>
        <v>SC_18_50004E</v>
      </c>
      <c r="B151" t="s">
        <v>1274</v>
      </c>
      <c r="C151">
        <f>VLOOKUP(A151,sr[],2,FALSE)</f>
        <v>2018</v>
      </c>
      <c r="D151">
        <v>3</v>
      </c>
      <c r="E151">
        <v>4</v>
      </c>
      <c r="F151" t="s">
        <v>2572</v>
      </c>
      <c r="H151" t="str" cm="1">
        <f t="array" ref="H151">_xlfn.IFS(D151=E151,"x",ISBLANK(E151),"Blank", ISBLANK(D151), "Blank",D151&lt;&gt;E151," ")</f>
        <v xml:space="preserve"> </v>
      </c>
    </row>
    <row r="152" spans="1:8" x14ac:dyDescent="0.3">
      <c r="A152" t="str">
        <f>VLOOKUP(B152,lookup[],2,FALSE)</f>
        <v>SC_18_50006E</v>
      </c>
      <c r="B152" t="s">
        <v>1278</v>
      </c>
      <c r="C152">
        <f>VLOOKUP(A152,sr[],2,FALSE)</f>
        <v>2018</v>
      </c>
      <c r="D152">
        <v>3</v>
      </c>
      <c r="E152">
        <v>3</v>
      </c>
      <c r="F152" t="s">
        <v>2572</v>
      </c>
      <c r="H152" t="str" cm="1">
        <f t="array" ref="H152">_xlfn.IFS(D152=E152,"x",ISBLANK(E152),"Blank", ISBLANK(D152), "Blank",D152&lt;&gt;E152," ")</f>
        <v>x</v>
      </c>
    </row>
    <row r="153" spans="1:8" x14ac:dyDescent="0.3">
      <c r="A153" t="str">
        <f>VLOOKUP(B153,lookup[],2,FALSE)</f>
        <v>SC_18_50005E</v>
      </c>
      <c r="B153" t="s">
        <v>1276</v>
      </c>
      <c r="C153">
        <f>VLOOKUP(A153,sr[],2,FALSE)</f>
        <v>2018</v>
      </c>
      <c r="D153">
        <v>3</v>
      </c>
      <c r="F153" t="s">
        <v>2572</v>
      </c>
      <c r="H153" t="str" cm="1">
        <f t="array" ref="H153">_xlfn.IFS(D153=E153,"x",ISBLANK(E153),"Blank", ISBLANK(D153), "Blank",D153&lt;&gt;E153," ")</f>
        <v>Blank</v>
      </c>
    </row>
    <row r="154" spans="1:8" x14ac:dyDescent="0.3">
      <c r="A154" t="str">
        <f>VLOOKUP(B154,lookup[],2,FALSE)</f>
        <v>SC_19_50022E</v>
      </c>
      <c r="B154" t="s">
        <v>1282</v>
      </c>
      <c r="C154">
        <f>VLOOKUP(A154,sr[],2,FALSE)</f>
        <v>2019</v>
      </c>
      <c r="D154">
        <v>2</v>
      </c>
      <c r="E154">
        <v>2</v>
      </c>
      <c r="F154" t="s">
        <v>2572</v>
      </c>
      <c r="H154" t="str" cm="1">
        <f t="array" ref="H154">_xlfn.IFS(D154=E154,"x",ISBLANK(E154),"Blank", ISBLANK(D154), "Blank",D154&lt;&gt;E154," ")</f>
        <v>x</v>
      </c>
    </row>
    <row r="155" spans="1:8" x14ac:dyDescent="0.3">
      <c r="A155" t="str">
        <f>VLOOKUP(B155,lookup[],2,FALSE)</f>
        <v>SC_19_50021E</v>
      </c>
      <c r="B155" t="s">
        <v>1280</v>
      </c>
      <c r="C155">
        <f>VLOOKUP(A155,sr[],2,FALSE)</f>
        <v>2019</v>
      </c>
      <c r="D155">
        <v>2</v>
      </c>
      <c r="F155" t="s">
        <v>2572</v>
      </c>
      <c r="G155" t="s">
        <v>2567</v>
      </c>
      <c r="H155" t="str" cm="1">
        <f t="array" ref="H155">_xlfn.IFS(D155=E155,"x",ISBLANK(E155),"Blank", ISBLANK(D155), "Blank",D155&lt;&gt;E155," ")</f>
        <v>Blank</v>
      </c>
    </row>
    <row r="156" spans="1:8" x14ac:dyDescent="0.3">
      <c r="A156" t="str">
        <f>VLOOKUP(B156,lookup[],2,FALSE)</f>
        <v>SC_20_50000E</v>
      </c>
      <c r="B156" t="s">
        <v>1284</v>
      </c>
      <c r="C156">
        <f>VLOOKUP(A156,sr[],2,FALSE)</f>
        <v>2020</v>
      </c>
      <c r="D156">
        <v>2</v>
      </c>
      <c r="E156">
        <v>2</v>
      </c>
      <c r="F156" t="s">
        <v>2572</v>
      </c>
      <c r="H156" t="str" cm="1">
        <f t="array" ref="H156">_xlfn.IFS(D156=E156,"x",ISBLANK(E156),"Blank", ISBLANK(D156), "Blank",D156&lt;&gt;E156," ")</f>
        <v>x</v>
      </c>
    </row>
    <row r="157" spans="1:8" x14ac:dyDescent="0.3">
      <c r="A157" t="str">
        <f>VLOOKUP(B157,lookup[],2,FALSE)</f>
        <v>SC_21_50001E</v>
      </c>
      <c r="B157" t="s">
        <v>1286</v>
      </c>
      <c r="C157">
        <f>VLOOKUP(A157,sr[],2,FALSE)</f>
        <v>2021</v>
      </c>
      <c r="D157">
        <v>4</v>
      </c>
      <c r="E157">
        <v>3</v>
      </c>
      <c r="F157" t="s">
        <v>2572</v>
      </c>
      <c r="H157" t="str" cm="1">
        <f t="array" ref="H157">_xlfn.IFS(D157=E157,"x",ISBLANK(E157),"Blank", ISBLANK(D157), "Blank",D157&lt;&gt;E157," ")</f>
        <v xml:space="preserve"> </v>
      </c>
    </row>
    <row r="158" spans="1:8" x14ac:dyDescent="0.3">
      <c r="A158" t="str">
        <f>VLOOKUP(B158,lookup[],2,FALSE)</f>
        <v>SC_21_50002E</v>
      </c>
      <c r="B158" t="s">
        <v>1288</v>
      </c>
      <c r="C158">
        <f>VLOOKUP(A158,sr[],2,FALSE)</f>
        <v>2021</v>
      </c>
      <c r="D158">
        <v>3</v>
      </c>
      <c r="E158">
        <v>3</v>
      </c>
      <c r="F158" t="s">
        <v>2572</v>
      </c>
      <c r="H158" t="str" cm="1">
        <f t="array" ref="H158">_xlfn.IFS(D158=E158,"x",ISBLANK(E158),"Blank", ISBLANK(D158), "Blank",D158&lt;&gt;E158," ")</f>
        <v>x</v>
      </c>
    </row>
    <row r="159" spans="1:8" x14ac:dyDescent="0.3">
      <c r="A159" t="str">
        <f>VLOOKUP(B159,lookup[],2,FALSE)</f>
        <v>SC_21_50003E</v>
      </c>
      <c r="B159" t="s">
        <v>1290</v>
      </c>
      <c r="C159">
        <f>VLOOKUP(A159,sr[],2,FALSE)</f>
        <v>2021</v>
      </c>
      <c r="D159">
        <v>3</v>
      </c>
      <c r="F159" t="s">
        <v>2572</v>
      </c>
      <c r="H159" t="str" cm="1">
        <f t="array" ref="H159">_xlfn.IFS(D159=E159,"x",ISBLANK(E159),"Blank", ISBLANK(D159), "Blank",D159&lt;&gt;E159," ")</f>
        <v>Blank</v>
      </c>
    </row>
    <row r="160" spans="1:8" x14ac:dyDescent="0.3">
      <c r="A160" t="str">
        <f>VLOOKUP(B160,lookup[],2,FALSE)</f>
        <v>SC_21_50004E</v>
      </c>
      <c r="B160" t="s">
        <v>1292</v>
      </c>
      <c r="C160">
        <f>VLOOKUP(A160,sr[],2,FALSE)</f>
        <v>2021</v>
      </c>
      <c r="F160" t="s">
        <v>2572</v>
      </c>
      <c r="G160" t="s">
        <v>2567</v>
      </c>
    </row>
    <row r="161" spans="1:8" x14ac:dyDescent="0.3">
      <c r="A161" t="str">
        <f>VLOOKUP(B161,lookup[],2,FALSE)</f>
        <v>SC_21_50005E</v>
      </c>
      <c r="B161" t="s">
        <v>1294</v>
      </c>
      <c r="C161">
        <f>VLOOKUP(A161,sr[],2,FALSE)</f>
        <v>2021</v>
      </c>
      <c r="D161">
        <v>3</v>
      </c>
      <c r="E161">
        <v>3</v>
      </c>
      <c r="F161" t="s">
        <v>2572</v>
      </c>
      <c r="H161" t="str" cm="1">
        <f t="array" ref="H161">_xlfn.IFS(D161=E161,"x",ISBLANK(E161),"Blank", ISBLANK(D161), "Blank",D161&lt;&gt;E161," ")</f>
        <v>x</v>
      </c>
    </row>
    <row r="162" spans="1:8" x14ac:dyDescent="0.3">
      <c r="A162" t="str">
        <f>VLOOKUP(B162,lookup[],2,FALSE)</f>
        <v>SC_21_50015E</v>
      </c>
      <c r="B162" t="s">
        <v>1308</v>
      </c>
      <c r="C162">
        <f>VLOOKUP(A162,sr[],2,FALSE)</f>
        <v>2021</v>
      </c>
      <c r="D162">
        <v>3</v>
      </c>
      <c r="F162" t="s">
        <v>2572</v>
      </c>
      <c r="H162" t="str" cm="1">
        <f t="array" ref="H162">_xlfn.IFS(D162=E162,"x",ISBLANK(E162),"Blank", ISBLANK(D162), "Blank",D162&lt;&gt;E162," ")</f>
        <v>Blank</v>
      </c>
    </row>
    <row r="163" spans="1:8" x14ac:dyDescent="0.3">
      <c r="A163" t="str">
        <f>VLOOKUP(B163,lookup[],2,FALSE)</f>
        <v>SC_21_50016E</v>
      </c>
      <c r="B163" t="s">
        <v>1310</v>
      </c>
      <c r="C163">
        <f>VLOOKUP(A163,sr[],2,FALSE)</f>
        <v>2021</v>
      </c>
      <c r="D163">
        <v>2</v>
      </c>
      <c r="E163">
        <v>3</v>
      </c>
      <c r="F163" t="s">
        <v>2572</v>
      </c>
      <c r="H163" t="str" cm="1">
        <f t="array" ref="H163">_xlfn.IFS(D163=E163,"x",ISBLANK(E163),"Blank", ISBLANK(D163), "Blank",D163&lt;&gt;E163," ")</f>
        <v xml:space="preserve"> </v>
      </c>
    </row>
    <row r="164" spans="1:8" x14ac:dyDescent="0.3">
      <c r="A164" t="str">
        <f>VLOOKUP(B164,lookup[],2,FALSE)</f>
        <v>SC_21_50021E</v>
      </c>
      <c r="B164" t="s">
        <v>1312</v>
      </c>
      <c r="C164">
        <f>VLOOKUP(A164,sr[],2,FALSE)</f>
        <v>2021</v>
      </c>
      <c r="D164">
        <v>3</v>
      </c>
      <c r="F164" t="s">
        <v>2572</v>
      </c>
      <c r="H164" t="str" cm="1">
        <f t="array" ref="H164">_xlfn.IFS(D164=E164,"x",ISBLANK(E164),"Blank", ISBLANK(D164), "Blank",D164&lt;&gt;E164," ")</f>
        <v>Blank</v>
      </c>
    </row>
    <row r="165" spans="1:8" x14ac:dyDescent="0.3">
      <c r="A165" t="str">
        <f>VLOOKUP(B165,lookup[],2,FALSE)</f>
        <v>SC_21_50023E</v>
      </c>
      <c r="B165" t="s">
        <v>1314</v>
      </c>
      <c r="C165">
        <f>VLOOKUP(A165,sr[],2,FALSE)</f>
        <v>2021</v>
      </c>
      <c r="D165">
        <v>2</v>
      </c>
      <c r="F165" t="s">
        <v>2572</v>
      </c>
      <c r="H165" t="str" cm="1">
        <f t="array" ref="H165">_xlfn.IFS(D165=E165,"x",ISBLANK(E165),"Blank", ISBLANK(D165), "Blank",D165&lt;&gt;E165," ")</f>
        <v>Blank</v>
      </c>
    </row>
    <row r="166" spans="1:8" x14ac:dyDescent="0.3">
      <c r="A166" t="str">
        <f>VLOOKUP(B166,lookup[],2,FALSE)</f>
        <v>SC_21_50028E</v>
      </c>
      <c r="B166" t="s">
        <v>1316</v>
      </c>
      <c r="C166">
        <f>VLOOKUP(A166,sr[],2,FALSE)</f>
        <v>2021</v>
      </c>
      <c r="D166">
        <v>3</v>
      </c>
      <c r="E166">
        <v>3</v>
      </c>
      <c r="F166" t="s">
        <v>2572</v>
      </c>
      <c r="H166" t="str" cm="1">
        <f t="array" ref="H166">_xlfn.IFS(D166=E166,"x",ISBLANK(E166),"Blank", ISBLANK(D166), "Blank",D166&lt;&gt;E166," ")</f>
        <v>x</v>
      </c>
    </row>
    <row r="167" spans="1:8" x14ac:dyDescent="0.3">
      <c r="A167" t="str">
        <f>VLOOKUP(B167,lookup[],2,FALSE)</f>
        <v>SC_21_51076E</v>
      </c>
      <c r="B167" t="s">
        <v>1318</v>
      </c>
      <c r="C167">
        <f>VLOOKUP(A167,sr[],2,FALSE)</f>
        <v>2021</v>
      </c>
      <c r="D167">
        <v>2</v>
      </c>
      <c r="F167" t="s">
        <v>2572</v>
      </c>
      <c r="H167" t="str" cm="1">
        <f t="array" ref="H167">_xlfn.IFS(D167=E167,"x",ISBLANK(E167),"Blank", ISBLANK(D167), "Blank",D167&lt;&gt;E167," ")</f>
        <v>Blank</v>
      </c>
    </row>
    <row r="168" spans="1:8" x14ac:dyDescent="0.3">
      <c r="A168" t="str">
        <f>VLOOKUP(B168,lookup[],2,FALSE)</f>
        <v>SC_21_51077E</v>
      </c>
      <c r="B168" t="s">
        <v>1320</v>
      </c>
      <c r="C168">
        <f>VLOOKUP(A168,sr[],2,FALSE)</f>
        <v>2021</v>
      </c>
      <c r="D168">
        <v>3</v>
      </c>
      <c r="E168">
        <v>3</v>
      </c>
      <c r="F168" t="s">
        <v>2572</v>
      </c>
      <c r="H168" t="str" cm="1">
        <f t="array" ref="H168">_xlfn.IFS(D168=E168,"x",ISBLANK(E168),"Blank", ISBLANK(D168), "Blank",D168&lt;&gt;E168," ")</f>
        <v>x</v>
      </c>
    </row>
    <row r="169" spans="1:8" x14ac:dyDescent="0.3">
      <c r="A169" t="str">
        <f>VLOOKUP(B169,lookup[],2,FALSE)</f>
        <v>SC_13_50005E</v>
      </c>
      <c r="B169" t="s">
        <v>1182</v>
      </c>
      <c r="C169">
        <f>VLOOKUP(A169,sr[],2,FALSE)</f>
        <v>2013</v>
      </c>
      <c r="D169">
        <v>3</v>
      </c>
      <c r="E169">
        <v>3</v>
      </c>
      <c r="F169" t="s">
        <v>2572</v>
      </c>
      <c r="H169" t="str" cm="1">
        <f t="array" ref="H169">_xlfn.IFS(D169=E169,"x",ISBLANK(E169),"Blank", ISBLANK(D169), "Blank",D169&lt;&gt;E169," ")</f>
        <v>x</v>
      </c>
    </row>
    <row r="170" spans="1:8" x14ac:dyDescent="0.3">
      <c r="A170" t="str">
        <f>VLOOKUP(B170,lookup[],2,FALSE)</f>
        <v>SC_13_50006E</v>
      </c>
      <c r="B170" t="s">
        <v>1184</v>
      </c>
      <c r="C170">
        <f>VLOOKUP(A170,sr[],2,FALSE)</f>
        <v>2013</v>
      </c>
      <c r="D170">
        <v>4</v>
      </c>
      <c r="F170" t="s">
        <v>2572</v>
      </c>
      <c r="H170" t="str" cm="1">
        <f t="array" ref="H170">_xlfn.IFS(D170=E170,"x",ISBLANK(E170),"Blank", ISBLANK(D170), "Blank",D170&lt;&gt;E170," ")</f>
        <v>Blank</v>
      </c>
    </row>
    <row r="171" spans="1:8" x14ac:dyDescent="0.3">
      <c r="A171" t="str">
        <f>VLOOKUP(B171,lookup[],2,FALSE)</f>
        <v>SC_13_50008E</v>
      </c>
      <c r="B171" t="s">
        <v>1186</v>
      </c>
      <c r="C171">
        <f>VLOOKUP(A171,sr[],2,FALSE)</f>
        <v>2013</v>
      </c>
      <c r="D171">
        <v>3</v>
      </c>
      <c r="F171" t="s">
        <v>2572</v>
      </c>
      <c r="H171" t="str" cm="1">
        <f t="array" ref="H171">_xlfn.IFS(D171=E171,"x",ISBLANK(E171),"Blank", ISBLANK(D171), "Blank",D171&lt;&gt;E171," ")</f>
        <v>Blank</v>
      </c>
    </row>
    <row r="172" spans="1:8" x14ac:dyDescent="0.3">
      <c r="A172" t="str">
        <f>VLOOKUP(B172,lookup[],2,FALSE)</f>
        <v>SC_13_50009E</v>
      </c>
      <c r="B172" t="s">
        <v>1188</v>
      </c>
      <c r="C172">
        <f>VLOOKUP(A172,sr[],2,FALSE)</f>
        <v>2013</v>
      </c>
      <c r="D172">
        <v>4</v>
      </c>
      <c r="E172">
        <v>3</v>
      </c>
      <c r="F172" t="s">
        <v>2572</v>
      </c>
      <c r="H172" t="str" cm="1">
        <f t="array" ref="H172">_xlfn.IFS(D172=E172,"x",ISBLANK(E172),"Blank", ISBLANK(D172), "Blank",D172&lt;&gt;E172," ")</f>
        <v xml:space="preserve"> </v>
      </c>
    </row>
    <row r="173" spans="1:8" x14ac:dyDescent="0.3">
      <c r="A173" t="str">
        <f>VLOOKUP(B173,lookup[],2,FALSE)</f>
        <v>SC_13_50010E</v>
      </c>
      <c r="B173" t="s">
        <v>1190</v>
      </c>
      <c r="C173">
        <f>VLOOKUP(A173,sr[],2,FALSE)</f>
        <v>2013</v>
      </c>
      <c r="D173">
        <v>4</v>
      </c>
      <c r="E173">
        <v>4</v>
      </c>
      <c r="F173" t="s">
        <v>2572</v>
      </c>
      <c r="H173" t="str" cm="1">
        <f t="array" ref="H173">_xlfn.IFS(D173=E173,"x",ISBLANK(E173),"Blank", ISBLANK(D173), "Blank",D173&lt;&gt;E173," ")</f>
        <v>x</v>
      </c>
    </row>
    <row r="174" spans="1:8" x14ac:dyDescent="0.3">
      <c r="A174" t="str">
        <f>VLOOKUP(B174,lookup[],2,FALSE)</f>
        <v>SC_13_50011E</v>
      </c>
      <c r="B174" t="s">
        <v>1192</v>
      </c>
      <c r="C174">
        <f>VLOOKUP(A174,sr[],2,FALSE)</f>
        <v>2013</v>
      </c>
      <c r="D174">
        <v>3</v>
      </c>
      <c r="E174">
        <v>3</v>
      </c>
      <c r="H174" t="str" cm="1">
        <f t="array" ref="H174">_xlfn.IFS(D174=E174,"x",ISBLANK(E174),"Blank", ISBLANK(D174), "Blank",D174&lt;&gt;E174," ")</f>
        <v>x</v>
      </c>
    </row>
    <row r="175" spans="1:8" x14ac:dyDescent="0.3">
      <c r="A175" t="str">
        <f>VLOOKUP(B175,lookup[],2,FALSE)</f>
        <v>SC_13_50012E</v>
      </c>
      <c r="B175" t="s">
        <v>1194</v>
      </c>
      <c r="C175">
        <f>VLOOKUP(A175,sr[],2,FALSE)</f>
        <v>2013</v>
      </c>
      <c r="D175">
        <v>3</v>
      </c>
      <c r="G175" t="s">
        <v>2560</v>
      </c>
      <c r="H175" t="str" cm="1">
        <f t="array" ref="H175">_xlfn.IFS(D175=E175,"x",ISBLANK(E175),"Blank", ISBLANK(D175), "Blank",D175&lt;&gt;E175," ")</f>
        <v>Blank</v>
      </c>
    </row>
    <row r="176" spans="1:8" x14ac:dyDescent="0.3">
      <c r="A176" t="str">
        <f>VLOOKUP(B176,lookup[],2,FALSE)</f>
        <v>SC_13_50013E</v>
      </c>
      <c r="B176" t="s">
        <v>1196</v>
      </c>
      <c r="C176">
        <f>VLOOKUP(A176,sr[],2,FALSE)</f>
        <v>2013</v>
      </c>
      <c r="D176">
        <v>4</v>
      </c>
      <c r="E176">
        <v>4</v>
      </c>
      <c r="G176" t="s">
        <v>2567</v>
      </c>
      <c r="H176" t="str" cm="1">
        <f t="array" ref="H176">_xlfn.IFS(D176=E176,"x",ISBLANK(E176),"Blank", ISBLANK(D176), "Blank",D176&lt;&gt;E176," ")</f>
        <v>x</v>
      </c>
    </row>
    <row r="177" spans="1:8" x14ac:dyDescent="0.3">
      <c r="A177" t="str">
        <f>VLOOKUP(B177,lookup[],2,FALSE)</f>
        <v>SC_13_50016E</v>
      </c>
      <c r="B177" t="s">
        <v>1198</v>
      </c>
      <c r="C177">
        <f>VLOOKUP(A177,sr[],2,FALSE)</f>
        <v>2013</v>
      </c>
      <c r="D177">
        <v>4</v>
      </c>
      <c r="E177">
        <v>4</v>
      </c>
      <c r="F177" t="s">
        <v>2571</v>
      </c>
      <c r="H177" t="str" cm="1">
        <f t="array" ref="H177">_xlfn.IFS(D177=E177,"x",ISBLANK(E177),"Blank", ISBLANK(D177), "Blank",D177&lt;&gt;E177," ")</f>
        <v>x</v>
      </c>
    </row>
    <row r="178" spans="1:8" x14ac:dyDescent="0.3">
      <c r="A178" t="str">
        <f>VLOOKUP(B178,lookup[],2,FALSE)</f>
        <v>SC_13_50018E</v>
      </c>
      <c r="B178" t="s">
        <v>1200</v>
      </c>
      <c r="C178">
        <f>VLOOKUP(A178,sr[],2,FALSE)</f>
        <v>2013</v>
      </c>
      <c r="D178">
        <v>3</v>
      </c>
      <c r="E178">
        <v>3</v>
      </c>
      <c r="F178" t="s">
        <v>2571</v>
      </c>
      <c r="H178" t="str" cm="1">
        <f t="array" ref="H178">_xlfn.IFS(D178=E178,"x",ISBLANK(E178),"Blank", ISBLANK(D178), "Blank",D178&lt;&gt;E178," ")</f>
        <v>x</v>
      </c>
    </row>
    <row r="179" spans="1:8" x14ac:dyDescent="0.3">
      <c r="A179" t="str">
        <f>VLOOKUP(B179,lookup[],2,FALSE)</f>
        <v>SC_13_50019E</v>
      </c>
      <c r="B179" t="s">
        <v>1202</v>
      </c>
      <c r="C179">
        <f>VLOOKUP(A179,sr[],2,FALSE)</f>
        <v>2013</v>
      </c>
      <c r="D179">
        <v>3</v>
      </c>
      <c r="E179">
        <v>3</v>
      </c>
      <c r="F179" t="s">
        <v>2571</v>
      </c>
      <c r="H179" t="str" cm="1">
        <f t="array" ref="H179">_xlfn.IFS(D179=E179,"x",ISBLANK(E179),"Blank", ISBLANK(D179), "Blank",D179&lt;&gt;E179," ")</f>
        <v>x</v>
      </c>
    </row>
    <row r="180" spans="1:8" x14ac:dyDescent="0.3">
      <c r="A180" t="str">
        <f>VLOOKUP(B180,lookup[],2,FALSE)</f>
        <v>SC_13_50020E</v>
      </c>
      <c r="B180" t="s">
        <v>1204</v>
      </c>
      <c r="C180" t="e">
        <f>VLOOKUP(A180,sr[],2,FALSE)</f>
        <v>#N/A</v>
      </c>
      <c r="D180">
        <v>3</v>
      </c>
      <c r="E180">
        <v>3</v>
      </c>
      <c r="F180" t="s">
        <v>2571</v>
      </c>
      <c r="H180" t="str" cm="1">
        <f t="array" ref="H180">_xlfn.IFS(D180=E180,"x",ISBLANK(E180),"Blank", ISBLANK(D180), "Blank",D180&lt;&gt;E180," ")</f>
        <v>x</v>
      </c>
    </row>
    <row r="181" spans="1:8" x14ac:dyDescent="0.3">
      <c r="A181" t="str">
        <f>VLOOKUP(B181,lookup[],2,FALSE)</f>
        <v>SC_13_50021E</v>
      </c>
      <c r="B181" t="s">
        <v>1206</v>
      </c>
      <c r="C181" t="e">
        <f>VLOOKUP(A181,sr[],2,FALSE)</f>
        <v>#N/A</v>
      </c>
      <c r="D181">
        <v>3</v>
      </c>
      <c r="E181">
        <v>4</v>
      </c>
      <c r="F181" t="s">
        <v>2571</v>
      </c>
      <c r="H181" t="str" cm="1">
        <f t="array" ref="H181">_xlfn.IFS(D181=E181,"x",ISBLANK(E181),"Blank", ISBLANK(D181), "Blank",D181&lt;&gt;E181," ")</f>
        <v xml:space="preserve"> </v>
      </c>
    </row>
    <row r="182" spans="1:8" x14ac:dyDescent="0.3">
      <c r="A182" t="str">
        <f>VLOOKUP(B182,lookup[],2,FALSE)</f>
        <v>SC_13_50022E</v>
      </c>
      <c r="B182" t="s">
        <v>1208</v>
      </c>
      <c r="C182" t="e">
        <f>VLOOKUP(A182,sr[],2,FALSE)</f>
        <v>#N/A</v>
      </c>
      <c r="D182">
        <v>4</v>
      </c>
      <c r="E182">
        <v>4</v>
      </c>
      <c r="F182" t="s">
        <v>2571</v>
      </c>
      <c r="H182" t="str" cm="1">
        <f t="array" ref="H182">_xlfn.IFS(D182=E182,"x",ISBLANK(E182),"Blank", ISBLANK(D182), "Blank",D182&lt;&gt;E182," ")</f>
        <v>x</v>
      </c>
    </row>
    <row r="183" spans="1:8" x14ac:dyDescent="0.3">
      <c r="A183" t="str">
        <f>VLOOKUP(B183,lookup[],2,FALSE)</f>
        <v>SC_13_50023E</v>
      </c>
      <c r="B183" t="s">
        <v>1210</v>
      </c>
      <c r="C183" t="e">
        <f>VLOOKUP(A183,sr[],2,FALSE)</f>
        <v>#N/A</v>
      </c>
      <c r="D183">
        <v>3</v>
      </c>
      <c r="E183">
        <v>4</v>
      </c>
      <c r="F183" t="s">
        <v>2571</v>
      </c>
      <c r="H183" t="str" cm="1">
        <f t="array" ref="H183">_xlfn.IFS(D183=E183,"x",ISBLANK(E183),"Blank", ISBLANK(D183), "Blank",D183&lt;&gt;E183," ")</f>
        <v xml:space="preserve"> </v>
      </c>
    </row>
    <row r="184" spans="1:8" x14ac:dyDescent="0.3">
      <c r="A184" t="str">
        <f>VLOOKUP(B184,lookup[],2,FALSE)</f>
        <v>SC_13_50037E</v>
      </c>
      <c r="B184" t="s">
        <v>1212</v>
      </c>
      <c r="C184" t="e">
        <f>VLOOKUP(A184,sr[],2,FALSE)</f>
        <v>#N/A</v>
      </c>
      <c r="D184">
        <v>3</v>
      </c>
      <c r="E184">
        <v>3</v>
      </c>
      <c r="F184" t="s">
        <v>2571</v>
      </c>
      <c r="H184" t="str" cm="1">
        <f t="array" ref="H184">_xlfn.IFS(D184=E184,"x",ISBLANK(E184),"Blank", ISBLANK(D184), "Blank",D184&lt;&gt;E184," ")</f>
        <v>x</v>
      </c>
    </row>
    <row r="185" spans="1:8" x14ac:dyDescent="0.3">
      <c r="A185" t="str">
        <f>VLOOKUP(B185,lookup[],2,FALSE)</f>
        <v>SC_13_50039E</v>
      </c>
      <c r="B185" t="s">
        <v>1214</v>
      </c>
      <c r="C185" t="e">
        <f>VLOOKUP(A185,sr[],2,FALSE)</f>
        <v>#N/A</v>
      </c>
      <c r="D185">
        <v>2</v>
      </c>
      <c r="E185">
        <v>3</v>
      </c>
      <c r="F185" t="s">
        <v>2571</v>
      </c>
      <c r="H185" t="str" cm="1">
        <f t="array" ref="H185">_xlfn.IFS(D185=E185,"x",ISBLANK(E185),"Blank", ISBLANK(D185), "Blank",D185&lt;&gt;E185," ")</f>
        <v xml:space="preserve"> </v>
      </c>
    </row>
    <row r="186" spans="1:8" x14ac:dyDescent="0.3">
      <c r="A186" t="str">
        <f>VLOOKUP(B186,lookup[],2,FALSE)</f>
        <v>SC_13_50059E</v>
      </c>
      <c r="B186" t="s">
        <v>1216</v>
      </c>
      <c r="C186" t="e">
        <f>VLOOKUP(A186,sr[],2,FALSE)</f>
        <v>#N/A</v>
      </c>
      <c r="D186">
        <v>2</v>
      </c>
      <c r="E186">
        <v>3</v>
      </c>
      <c r="F186" t="s">
        <v>2571</v>
      </c>
      <c r="H186" t="str" cm="1">
        <f t="array" ref="H186">_xlfn.IFS(D186=E186,"x",ISBLANK(E186),"Blank", ISBLANK(D186), "Blank",D186&lt;&gt;E186," ")</f>
        <v xml:space="preserve"> </v>
      </c>
    </row>
    <row r="187" spans="1:8" x14ac:dyDescent="0.3">
      <c r="A187" t="str">
        <f>VLOOKUP(B187,lookup[],2,FALSE)</f>
        <v>SC_13_50066E</v>
      </c>
      <c r="B187" t="s">
        <v>1218</v>
      </c>
      <c r="C187" t="e">
        <f>VLOOKUP(A187,sr[],2,FALSE)</f>
        <v>#N/A</v>
      </c>
      <c r="D187">
        <v>3</v>
      </c>
      <c r="E187">
        <v>3</v>
      </c>
      <c r="F187" t="s">
        <v>2571</v>
      </c>
      <c r="H187" t="str" cm="1">
        <f t="array" ref="H187">_xlfn.IFS(D187=E187,"x",ISBLANK(E187),"Blank", ISBLANK(D187), "Blank",D187&lt;&gt;E187," ")</f>
        <v>x</v>
      </c>
    </row>
    <row r="188" spans="1:8" x14ac:dyDescent="0.3">
      <c r="A188" t="str">
        <f>VLOOKUP(B188,lookup[],2,FALSE)</f>
        <v>SC_13_50077E</v>
      </c>
      <c r="B188" t="s">
        <v>1220</v>
      </c>
      <c r="C188" t="e">
        <f>VLOOKUP(A188,sr[],2,FALSE)</f>
        <v>#N/A</v>
      </c>
      <c r="D188">
        <v>2</v>
      </c>
      <c r="E188">
        <v>3</v>
      </c>
      <c r="F188" t="s">
        <v>2571</v>
      </c>
      <c r="H188" t="str" cm="1">
        <f t="array" ref="H188">_xlfn.IFS(D188=E188,"x",ISBLANK(E188),"Blank", ISBLANK(D188), "Blank",D188&lt;&gt;E188," ")</f>
        <v xml:space="preserve"> </v>
      </c>
    </row>
    <row r="189" spans="1:8" x14ac:dyDescent="0.3">
      <c r="A189" t="str">
        <f>VLOOKUP(B189,lookup[],2,FALSE)</f>
        <v>SC_13_51007E</v>
      </c>
      <c r="B189" t="s">
        <v>1222</v>
      </c>
      <c r="C189" t="e">
        <f>VLOOKUP(A189,sr[],2,FALSE)</f>
        <v>#N/A</v>
      </c>
      <c r="D189">
        <v>3</v>
      </c>
      <c r="E189">
        <v>3</v>
      </c>
      <c r="F189" t="s">
        <v>2571</v>
      </c>
      <c r="H189" t="str" cm="1">
        <f t="array" ref="H189">_xlfn.IFS(D189=E189,"x",ISBLANK(E189),"Blank", ISBLANK(D189), "Blank",D189&lt;&gt;E189," ")</f>
        <v>x</v>
      </c>
    </row>
    <row r="190" spans="1:8" x14ac:dyDescent="0.3">
      <c r="A190" t="str">
        <f>VLOOKUP(B190,lookup[],2,FALSE)</f>
        <v>SC_13_51008E</v>
      </c>
      <c r="B190" t="s">
        <v>1224</v>
      </c>
      <c r="C190" t="e">
        <f>VLOOKUP(A190,sr[],2,FALSE)</f>
        <v>#N/A</v>
      </c>
      <c r="D190">
        <v>3</v>
      </c>
      <c r="E190">
        <v>3</v>
      </c>
      <c r="F190" t="s">
        <v>2571</v>
      </c>
      <c r="H190" t="str" cm="1">
        <f t="array" ref="H190">_xlfn.IFS(D190=E190,"x",ISBLANK(E190),"Blank", ISBLANK(D190), "Blank",D190&lt;&gt;E190," ")</f>
        <v>x</v>
      </c>
    </row>
    <row r="191" spans="1:8" x14ac:dyDescent="0.3">
      <c r="A191" t="str">
        <f>VLOOKUP(B191,lookup[],2,FALSE)</f>
        <v>SC_14_50004E</v>
      </c>
      <c r="B191" t="s">
        <v>1226</v>
      </c>
      <c r="C191" t="e">
        <f>VLOOKUP(A191,sr[],2,FALSE)</f>
        <v>#N/A</v>
      </c>
      <c r="D191">
        <v>4</v>
      </c>
      <c r="E191">
        <v>4</v>
      </c>
      <c r="F191" t="s">
        <v>2571</v>
      </c>
      <c r="H191" t="str" cm="1">
        <f t="array" ref="H191">_xlfn.IFS(D191=E191,"x",ISBLANK(E191),"Blank", ISBLANK(D191), "Blank",D191&lt;&gt;E191," ")</f>
        <v>x</v>
      </c>
    </row>
    <row r="192" spans="1:8" x14ac:dyDescent="0.3">
      <c r="A192" t="str">
        <f>VLOOKUP(B192,lookup[],2,FALSE)</f>
        <v>SC_YUB_15253</v>
      </c>
      <c r="B192" t="s">
        <v>1834</v>
      </c>
      <c r="C192" t="e">
        <f>VLOOKUP(A192,sr[],2,FALSE)</f>
        <v>#N/A</v>
      </c>
      <c r="D192">
        <v>3</v>
      </c>
      <c r="E192">
        <v>3</v>
      </c>
      <c r="F192" t="s">
        <v>2572</v>
      </c>
      <c r="H192" t="str" cm="1">
        <f t="array" ref="H192">_xlfn.IFS(D192=E192,"x",ISBLANK(E192),"Blank", ISBLANK(D192), "Blank",D192&lt;&gt;E192," ")</f>
        <v>x</v>
      </c>
    </row>
    <row r="193" spans="1:8" x14ac:dyDescent="0.3">
      <c r="A193" t="str">
        <f>VLOOKUP(B193,lookup[],2,FALSE)</f>
        <v>SC_12_50073E</v>
      </c>
      <c r="B193" t="s">
        <v>1138</v>
      </c>
      <c r="C193">
        <f>VLOOKUP(A193,sr[],2,FALSE)</f>
        <v>2012</v>
      </c>
      <c r="D193">
        <v>3</v>
      </c>
      <c r="E193">
        <v>3</v>
      </c>
      <c r="F193" t="s">
        <v>2572</v>
      </c>
      <c r="G193" t="s">
        <v>2560</v>
      </c>
      <c r="H193" t="str" cm="1">
        <f t="array" ref="H193">_xlfn.IFS(D193=E193,"x",ISBLANK(E193),"Blank", ISBLANK(D193), "Blank",D193&lt;&gt;E193," ")</f>
        <v>x</v>
      </c>
    </row>
    <row r="194" spans="1:8" x14ac:dyDescent="0.3">
      <c r="A194" t="str">
        <f>VLOOKUP(B194,lookup[],2,FALSE)</f>
        <v>SC_12_50074E</v>
      </c>
      <c r="B194" t="s">
        <v>1140</v>
      </c>
      <c r="C194">
        <f>VLOOKUP(A194,sr[],2,FALSE)</f>
        <v>2012</v>
      </c>
      <c r="D194">
        <v>3</v>
      </c>
      <c r="F194" t="s">
        <v>2572</v>
      </c>
      <c r="H194" t="str" cm="1">
        <f t="array" ref="H194">_xlfn.IFS(D194=E194,"x",ISBLANK(E194),"Blank", ISBLANK(D194), "Blank",D194&lt;&gt;E194," ")</f>
        <v>Blank</v>
      </c>
    </row>
    <row r="195" spans="1:8" x14ac:dyDescent="0.3">
      <c r="A195" t="str">
        <f>VLOOKUP(B195,lookup[],2,FALSE)</f>
        <v>SC_12_50075E</v>
      </c>
      <c r="B195" t="s">
        <v>1142</v>
      </c>
      <c r="C195">
        <f>VLOOKUP(A195,sr[],2,FALSE)</f>
        <v>2012</v>
      </c>
      <c r="D195">
        <v>3</v>
      </c>
      <c r="E195">
        <v>3</v>
      </c>
      <c r="F195" t="s">
        <v>2572</v>
      </c>
      <c r="H195" t="str" cm="1">
        <f t="array" ref="H195">_xlfn.IFS(D195=E195,"x",ISBLANK(E195),"Blank", ISBLANK(D195), "Blank",D195&lt;&gt;E195," ")</f>
        <v>x</v>
      </c>
    </row>
    <row r="196" spans="1:8" x14ac:dyDescent="0.3">
      <c r="A196" t="str">
        <f>VLOOKUP(B196,lookup[],2,FALSE)</f>
        <v>SC_12_50076E</v>
      </c>
      <c r="B196" t="s">
        <v>1144</v>
      </c>
      <c r="C196">
        <f>VLOOKUP(A196,sr[],2,FALSE)</f>
        <v>2012</v>
      </c>
      <c r="D196">
        <v>2</v>
      </c>
      <c r="E196">
        <v>3</v>
      </c>
      <c r="F196" t="s">
        <v>2572</v>
      </c>
      <c r="H196" t="str" cm="1">
        <f t="array" ref="H196">_xlfn.IFS(D196=E196,"x",ISBLANK(E196),"Blank", ISBLANK(D196), "Blank",D196&lt;&gt;E196," ")</f>
        <v xml:space="preserve"> </v>
      </c>
    </row>
    <row r="197" spans="1:8" x14ac:dyDescent="0.3">
      <c r="A197" t="str">
        <f>VLOOKUP(B197,lookup[],2,FALSE)</f>
        <v>SC_12_50077E</v>
      </c>
      <c r="B197" t="s">
        <v>1146</v>
      </c>
      <c r="C197">
        <f>VLOOKUP(A197,sr[],2,FALSE)</f>
        <v>2012</v>
      </c>
      <c r="D197">
        <v>3</v>
      </c>
      <c r="F197" t="s">
        <v>2572</v>
      </c>
      <c r="H197" t="str" cm="1">
        <f t="array" ref="H197">_xlfn.IFS(D197=E197,"x",ISBLANK(E197),"Blank", ISBLANK(D197), "Blank",D197&lt;&gt;E197," ")</f>
        <v>Blank</v>
      </c>
    </row>
    <row r="198" spans="1:8" x14ac:dyDescent="0.3">
      <c r="A198" t="str">
        <f>VLOOKUP(B198,lookup[],2,FALSE)</f>
        <v>SC_12_50078E</v>
      </c>
      <c r="B198" t="s">
        <v>1148</v>
      </c>
      <c r="C198">
        <f>VLOOKUP(A198,sr[],2,FALSE)</f>
        <v>2012</v>
      </c>
      <c r="D198">
        <v>2</v>
      </c>
      <c r="E198">
        <v>3</v>
      </c>
      <c r="F198" t="s">
        <v>2572</v>
      </c>
      <c r="H198" t="str" cm="1">
        <f t="array" ref="H198">_xlfn.IFS(D198=E198,"x",ISBLANK(E198),"Blank", ISBLANK(D198), "Blank",D198&lt;&gt;E198," ")</f>
        <v xml:space="preserve"> </v>
      </c>
    </row>
    <row r="199" spans="1:8" x14ac:dyDescent="0.3">
      <c r="A199" t="str">
        <f>VLOOKUP(B199,lookup[],2,FALSE)</f>
        <v>SC_12_50079E</v>
      </c>
      <c r="B199" t="s">
        <v>1150</v>
      </c>
      <c r="C199">
        <f>VLOOKUP(A199,sr[],2,FALSE)</f>
        <v>2012</v>
      </c>
      <c r="D199">
        <v>3</v>
      </c>
      <c r="E199">
        <v>3</v>
      </c>
      <c r="F199" t="s">
        <v>2572</v>
      </c>
      <c r="H199" t="str" cm="1">
        <f t="array" ref="H199">_xlfn.IFS(D199=E199,"x",ISBLANK(E199),"Blank", ISBLANK(D199), "Blank",D199&lt;&gt;E199," ")</f>
        <v>x</v>
      </c>
    </row>
    <row r="200" spans="1:8" x14ac:dyDescent="0.3">
      <c r="A200" t="str">
        <f>VLOOKUP(B200,lookup[],2,FALSE)</f>
        <v>SC_12_50080E</v>
      </c>
      <c r="B200" t="s">
        <v>1152</v>
      </c>
      <c r="C200">
        <f>VLOOKUP(A200,sr[],2,FALSE)</f>
        <v>2012</v>
      </c>
      <c r="D200">
        <v>2</v>
      </c>
      <c r="E200">
        <v>3</v>
      </c>
      <c r="F200" t="s">
        <v>2572</v>
      </c>
      <c r="G200" t="s">
        <v>2568</v>
      </c>
      <c r="H200" t="str" cm="1">
        <f t="array" ref="H200">_xlfn.IFS(D200=E200,"x",ISBLANK(E200),"Blank", ISBLANK(D200), "Blank",D200&lt;&gt;E200," ")</f>
        <v xml:space="preserve"> </v>
      </c>
    </row>
    <row r="201" spans="1:8" x14ac:dyDescent="0.3">
      <c r="A201" t="str">
        <f>VLOOKUP(B201,lookup[],2,FALSE)</f>
        <v>SC_12_50081E</v>
      </c>
      <c r="B201" t="s">
        <v>1154</v>
      </c>
      <c r="C201">
        <f>VLOOKUP(A201,sr[],2,FALSE)</f>
        <v>2012</v>
      </c>
      <c r="D201">
        <v>3</v>
      </c>
      <c r="E201">
        <v>3</v>
      </c>
      <c r="F201" t="s">
        <v>2572</v>
      </c>
      <c r="H201" t="str" cm="1">
        <f t="array" ref="H201">_xlfn.IFS(D201=E201,"x",ISBLANK(E201),"Blank", ISBLANK(D201), "Blank",D201&lt;&gt;E201," ")</f>
        <v>x</v>
      </c>
    </row>
    <row r="202" spans="1:8" x14ac:dyDescent="0.3">
      <c r="A202" t="str">
        <f>VLOOKUP(B202,lookup[],2,FALSE)</f>
        <v>SC_12_50082E</v>
      </c>
      <c r="B202" t="s">
        <v>1156</v>
      </c>
      <c r="C202">
        <f>VLOOKUP(A202,sr[],2,FALSE)</f>
        <v>2012</v>
      </c>
      <c r="D202">
        <v>3</v>
      </c>
      <c r="E202">
        <v>3</v>
      </c>
      <c r="F202" t="s">
        <v>2572</v>
      </c>
      <c r="H202" t="str" cm="1">
        <f t="array" ref="H202">_xlfn.IFS(D202=E202,"x",ISBLANK(E202),"Blank", ISBLANK(D202), "Blank",D202&lt;&gt;E202," ")</f>
        <v>x</v>
      </c>
    </row>
    <row r="203" spans="1:8" x14ac:dyDescent="0.3">
      <c r="A203" t="str">
        <f>VLOOKUP(B203,lookup[],2,FALSE)</f>
        <v>SC_12_50083E</v>
      </c>
      <c r="B203" t="s">
        <v>1158</v>
      </c>
      <c r="C203">
        <f>VLOOKUP(A203,sr[],2,FALSE)</f>
        <v>2012</v>
      </c>
      <c r="D203">
        <v>3</v>
      </c>
      <c r="E203">
        <v>3</v>
      </c>
      <c r="F203" t="s">
        <v>2572</v>
      </c>
      <c r="H203" t="str" cm="1">
        <f t="array" ref="H203">_xlfn.IFS(D203=E203,"x",ISBLANK(E203),"Blank", ISBLANK(D203), "Blank",D203&lt;&gt;E203," ")</f>
        <v>x</v>
      </c>
    </row>
    <row r="204" spans="1:8" x14ac:dyDescent="0.3">
      <c r="A204" t="str">
        <f>VLOOKUP(B204,lookup[],2,FALSE)</f>
        <v>SC_12_50084E</v>
      </c>
      <c r="B204" t="s">
        <v>1160</v>
      </c>
      <c r="C204">
        <f>VLOOKUP(A204,sr[],2,FALSE)</f>
        <v>2012</v>
      </c>
      <c r="D204">
        <v>3</v>
      </c>
      <c r="E204">
        <v>3</v>
      </c>
      <c r="F204" t="s">
        <v>2572</v>
      </c>
      <c r="H204" t="str" cm="1">
        <f t="array" ref="H204">_xlfn.IFS(D204=E204,"x",ISBLANK(E204),"Blank", ISBLANK(D204), "Blank",D204&lt;&gt;E204," ")</f>
        <v>x</v>
      </c>
    </row>
    <row r="205" spans="1:8" x14ac:dyDescent="0.3">
      <c r="A205" t="str">
        <f>VLOOKUP(B205,lookup[],2,FALSE)</f>
        <v>SC_12_50085E</v>
      </c>
      <c r="B205" t="s">
        <v>1162</v>
      </c>
      <c r="C205">
        <f>VLOOKUP(A205,sr[],2,FALSE)</f>
        <v>2012</v>
      </c>
      <c r="D205">
        <v>3</v>
      </c>
      <c r="E205">
        <v>3</v>
      </c>
      <c r="F205" t="s">
        <v>2572</v>
      </c>
      <c r="H205" t="str" cm="1">
        <f t="array" ref="H205">_xlfn.IFS(D205=E205,"x",ISBLANK(E205),"Blank", ISBLANK(D205), "Blank",D205&lt;&gt;E205," ")</f>
        <v>x</v>
      </c>
    </row>
    <row r="206" spans="1:8" x14ac:dyDescent="0.3">
      <c r="A206" t="str">
        <f>VLOOKUP(B206,lookup[],2,FALSE)</f>
        <v>SC_12_50086E</v>
      </c>
      <c r="B206" t="s">
        <v>1164</v>
      </c>
      <c r="C206">
        <f>VLOOKUP(A206,sr[],2,FALSE)</f>
        <v>2012</v>
      </c>
      <c r="D206">
        <v>2</v>
      </c>
      <c r="F206" t="s">
        <v>2572</v>
      </c>
      <c r="G206" t="s">
        <v>2560</v>
      </c>
      <c r="H206" t="str" cm="1">
        <f t="array" ref="H206">_xlfn.IFS(D206=E206,"x",ISBLANK(E206),"Blank", ISBLANK(D206), "Blank",D206&lt;&gt;E206," ")</f>
        <v>Blank</v>
      </c>
    </row>
    <row r="207" spans="1:8" x14ac:dyDescent="0.3">
      <c r="A207" t="str">
        <f>VLOOKUP(B207,lookup[],2,FALSE)</f>
        <v>SC_12_50087E</v>
      </c>
      <c r="B207" t="s">
        <v>1166</v>
      </c>
      <c r="C207">
        <f>VLOOKUP(A207,sr[],2,FALSE)</f>
        <v>2012</v>
      </c>
      <c r="D207">
        <v>3</v>
      </c>
      <c r="E207">
        <v>3</v>
      </c>
      <c r="F207" t="s">
        <v>2572</v>
      </c>
      <c r="H207" t="str" cm="1">
        <f t="array" ref="H207">_xlfn.IFS(D207=E207,"x",ISBLANK(E207),"Blank", ISBLANK(D207), "Blank",D207&lt;&gt;E207," ")</f>
        <v>x</v>
      </c>
    </row>
    <row r="208" spans="1:8" x14ac:dyDescent="0.3">
      <c r="A208" t="str">
        <f>VLOOKUP(B208,lookup[],2,FALSE)</f>
        <v>SC_12_50088E</v>
      </c>
      <c r="B208" t="s">
        <v>1168</v>
      </c>
      <c r="C208">
        <f>VLOOKUP(A208,sr[],2,FALSE)</f>
        <v>2012</v>
      </c>
      <c r="D208">
        <v>3</v>
      </c>
      <c r="E208">
        <v>3</v>
      </c>
      <c r="F208" t="s">
        <v>2572</v>
      </c>
      <c r="H208" t="str" cm="1">
        <f t="array" ref="H208">_xlfn.IFS(D208=E208,"x",ISBLANK(E208),"Blank", ISBLANK(D208), "Blank",D208&lt;&gt;E208," ")</f>
        <v>x</v>
      </c>
    </row>
    <row r="209" spans="1:8" x14ac:dyDescent="0.3">
      <c r="A209" t="str">
        <f>VLOOKUP(B209,lookup[],2,FALSE)</f>
        <v>SC_12_50089E</v>
      </c>
      <c r="B209" t="s">
        <v>1170</v>
      </c>
      <c r="C209">
        <f>VLOOKUP(A209,sr[],2,FALSE)</f>
        <v>2012</v>
      </c>
      <c r="D209">
        <v>3</v>
      </c>
      <c r="E209">
        <v>3</v>
      </c>
      <c r="F209" t="s">
        <v>2572</v>
      </c>
      <c r="H209" t="str" cm="1">
        <f t="array" ref="H209">_xlfn.IFS(D209=E209,"x",ISBLANK(E209),"Blank", ISBLANK(D209), "Blank",D209&lt;&gt;E209," ")</f>
        <v>x</v>
      </c>
    </row>
    <row r="210" spans="1:8" x14ac:dyDescent="0.3">
      <c r="A210" t="str">
        <f>VLOOKUP(B210,lookup[],2,FALSE)</f>
        <v>SC_12_50090E</v>
      </c>
      <c r="B210" t="s">
        <v>1172</v>
      </c>
      <c r="C210">
        <f>VLOOKUP(A210,sr[],2,FALSE)</f>
        <v>2012</v>
      </c>
      <c r="D210">
        <v>3</v>
      </c>
      <c r="E210">
        <v>3</v>
      </c>
      <c r="F210" t="s">
        <v>2572</v>
      </c>
      <c r="H210" t="str" cm="1">
        <f t="array" ref="H210">_xlfn.IFS(D210=E210,"x",ISBLANK(E210),"Blank", ISBLANK(D210), "Blank",D210&lt;&gt;E210," ")</f>
        <v>x</v>
      </c>
    </row>
    <row r="211" spans="1:8" x14ac:dyDescent="0.3">
      <c r="A211" t="str">
        <f>VLOOKUP(B211,lookup[],2,FALSE)</f>
        <v>SC_12_50103E</v>
      </c>
      <c r="B211" t="s">
        <v>1174</v>
      </c>
      <c r="C211">
        <f>VLOOKUP(A211,sr[],2,FALSE)</f>
        <v>2012</v>
      </c>
      <c r="D211">
        <v>3</v>
      </c>
      <c r="E211">
        <v>3</v>
      </c>
      <c r="F211" t="s">
        <v>2572</v>
      </c>
      <c r="H211" t="str" cm="1">
        <f t="array" ref="H211">_xlfn.IFS(D211=E211,"x",ISBLANK(E211),"Blank", ISBLANK(D211), "Blank",D211&lt;&gt;E211," ")</f>
        <v>x</v>
      </c>
    </row>
    <row r="212" spans="1:8" x14ac:dyDescent="0.3">
      <c r="A212" t="str">
        <f>VLOOKUP(B212,lookup[],2,FALSE)</f>
        <v>SC_12_50115E</v>
      </c>
      <c r="B212" t="s">
        <v>1176</v>
      </c>
      <c r="C212">
        <f>VLOOKUP(A212,sr[],2,FALSE)</f>
        <v>2012</v>
      </c>
      <c r="D212">
        <v>3</v>
      </c>
      <c r="E212">
        <v>3</v>
      </c>
      <c r="F212" t="s">
        <v>2572</v>
      </c>
      <c r="H212" t="str" cm="1">
        <f t="array" ref="H212">_xlfn.IFS(D212=E212,"x",ISBLANK(E212),"Blank", ISBLANK(D212), "Blank",D212&lt;&gt;E212," ")</f>
        <v>x</v>
      </c>
    </row>
    <row r="213" spans="1:8" x14ac:dyDescent="0.3">
      <c r="A213" t="str">
        <f>VLOOKUP(B213,lookup[],2,FALSE)</f>
        <v>SC_12_50116E</v>
      </c>
      <c r="B213" t="s">
        <v>1178</v>
      </c>
      <c r="C213">
        <f>VLOOKUP(A213,sr[],2,FALSE)</f>
        <v>2012</v>
      </c>
      <c r="D213">
        <v>3</v>
      </c>
      <c r="E213">
        <v>3</v>
      </c>
      <c r="F213" t="s">
        <v>2572</v>
      </c>
      <c r="H213" t="str" cm="1">
        <f t="array" ref="H213">_xlfn.IFS(D213=E213,"x",ISBLANK(E213),"Blank", ISBLANK(D213), "Blank",D213&lt;&gt;E213," ")</f>
        <v>x</v>
      </c>
    </row>
    <row r="214" spans="1:8" x14ac:dyDescent="0.3">
      <c r="A214" t="str">
        <f>VLOOKUP(B214,lookup[],2,FALSE)</f>
        <v>SC_12_50117E</v>
      </c>
      <c r="B214" t="s">
        <v>1180</v>
      </c>
      <c r="C214">
        <f>VLOOKUP(A214,sr[],2,FALSE)</f>
        <v>2012</v>
      </c>
      <c r="D214">
        <v>3</v>
      </c>
      <c r="E214">
        <v>3</v>
      </c>
      <c r="F214" t="s">
        <v>2572</v>
      </c>
      <c r="H214" t="str" cm="1">
        <f t="array" ref="H214">_xlfn.IFS(D214=E214,"x",ISBLANK(E214),"Blank", ISBLANK(D214), "Blank",D214&lt;&gt;E214," ")</f>
        <v>x</v>
      </c>
    </row>
    <row r="215" spans="1:8" x14ac:dyDescent="0.3">
      <c r="A215" t="str">
        <f>VLOOKUP(B215,lookup[],2,FALSE)</f>
        <v>SC_09_50012E</v>
      </c>
      <c r="B215" t="s">
        <v>194</v>
      </c>
      <c r="C215">
        <f>VLOOKUP(A215,sr[],2,FALSE)</f>
        <v>2009</v>
      </c>
      <c r="D215">
        <v>3</v>
      </c>
      <c r="E215">
        <v>3</v>
      </c>
      <c r="F215" t="s">
        <v>2572</v>
      </c>
      <c r="H215" t="str" cm="1">
        <f t="array" ref="H215">_xlfn.IFS(D215=E215,"x",ISBLANK(E215),"Blank", ISBLANK(D215), "Blank",D215&lt;&gt;E215," ")</f>
        <v>x</v>
      </c>
    </row>
    <row r="216" spans="1:8" x14ac:dyDescent="0.3">
      <c r="A216" t="str">
        <f>VLOOKUP(B216,lookup[],2,FALSE)</f>
        <v>SC_09_51009E</v>
      </c>
      <c r="B216" t="s">
        <v>214</v>
      </c>
      <c r="C216" t="e">
        <f>VLOOKUP(A216,sr[],2,FALSE)</f>
        <v>#N/A</v>
      </c>
      <c r="D216">
        <v>3</v>
      </c>
      <c r="F216" t="s">
        <v>2572</v>
      </c>
      <c r="H216" t="str" cm="1">
        <f t="array" ref="H216">_xlfn.IFS(D216=E216,"x",ISBLANK(E216),"Blank", ISBLANK(D216), "Blank",D216&lt;&gt;E216," ")</f>
        <v>Blank</v>
      </c>
    </row>
    <row r="217" spans="1:8" x14ac:dyDescent="0.3">
      <c r="A217" t="str">
        <f>VLOOKUP(B217,lookup[],2,FALSE)</f>
        <v>SC_10_50009E</v>
      </c>
      <c r="B217" t="s">
        <v>284</v>
      </c>
      <c r="C217">
        <f>VLOOKUP(A217,sr[],2,FALSE)</f>
        <v>2010</v>
      </c>
      <c r="D217">
        <v>3</v>
      </c>
      <c r="E217">
        <v>3</v>
      </c>
      <c r="F217" t="s">
        <v>2572</v>
      </c>
      <c r="H217" t="str" cm="1">
        <f t="array" ref="H217">_xlfn.IFS(D217=E217,"x",ISBLANK(E217),"Blank", ISBLANK(D217), "Blank",D217&lt;&gt;E217," ")</f>
        <v>x</v>
      </c>
    </row>
    <row r="218" spans="1:8" x14ac:dyDescent="0.3">
      <c r="A218" t="str">
        <f>VLOOKUP(B218,lookup[],2,FALSE)</f>
        <v>SC_10_50068E</v>
      </c>
      <c r="B218" t="s">
        <v>320</v>
      </c>
      <c r="C218">
        <f>VLOOKUP(A218,sr[],2,FALSE)</f>
        <v>2010</v>
      </c>
      <c r="D218">
        <v>3</v>
      </c>
      <c r="E218">
        <v>3</v>
      </c>
      <c r="F218" t="s">
        <v>2572</v>
      </c>
      <c r="H218" t="str" cm="1">
        <f t="array" ref="H218">_xlfn.IFS(D218=E218,"x",ISBLANK(E218),"Blank", ISBLANK(D218), "Blank",D218&lt;&gt;E218," ")</f>
        <v>x</v>
      </c>
    </row>
    <row r="219" spans="1:8" x14ac:dyDescent="0.3">
      <c r="A219" t="str">
        <f>VLOOKUP(B219,lookup[],2,FALSE)</f>
        <v>SC_11_50017E</v>
      </c>
      <c r="B219" t="s">
        <v>706</v>
      </c>
      <c r="C219">
        <f>VLOOKUP(A219,sr[],2,FALSE)</f>
        <v>2011</v>
      </c>
      <c r="D219">
        <v>2</v>
      </c>
      <c r="E219">
        <v>2</v>
      </c>
      <c r="F219" t="s">
        <v>2572</v>
      </c>
      <c r="H219" t="str" cm="1">
        <f t="array" ref="H219">_xlfn.IFS(D219=E219,"x",ISBLANK(E219),"Blank", ISBLANK(D219), "Blank",D219&lt;&gt;E219," ")</f>
        <v>x</v>
      </c>
    </row>
    <row r="220" spans="1:8" x14ac:dyDescent="0.3">
      <c r="A220" t="str">
        <f>VLOOKUP(B220,lookup[],2,FALSE)</f>
        <v>SC_09_50011E</v>
      </c>
      <c r="B220" t="s">
        <v>192</v>
      </c>
      <c r="C220">
        <f>VLOOKUP(A220,sr[],2,FALSE)</f>
        <v>2009</v>
      </c>
      <c r="D220">
        <v>2</v>
      </c>
      <c r="F220" t="s">
        <v>2572</v>
      </c>
      <c r="H220" t="str" cm="1">
        <f t="array" ref="H220">_xlfn.IFS(D220=E220,"x",ISBLANK(E220),"Blank", ISBLANK(D220), "Blank",D220&lt;&gt;E220," ")</f>
        <v>Blank</v>
      </c>
    </row>
    <row r="221" spans="1:8" x14ac:dyDescent="0.3">
      <c r="A221" t="str">
        <f>VLOOKUP(B221,lookup[],2,FALSE)</f>
        <v>SC_09_50024E</v>
      </c>
      <c r="B221" t="s">
        <v>212</v>
      </c>
      <c r="C221">
        <f>VLOOKUP(A221,sr[],2,FALSE)</f>
        <v>2009</v>
      </c>
      <c r="D221">
        <v>4</v>
      </c>
      <c r="E221">
        <v>4</v>
      </c>
      <c r="F221" t="s">
        <v>2572</v>
      </c>
      <c r="H221" t="str" cm="1">
        <f t="array" ref="H221">_xlfn.IFS(D221=E221,"x",ISBLANK(E221),"Blank", ISBLANK(D221), "Blank",D221&lt;&gt;E221," ")</f>
        <v>x</v>
      </c>
    </row>
    <row r="222" spans="1:8" x14ac:dyDescent="0.3">
      <c r="A222" t="str">
        <f>VLOOKUP(B222,lookup[],2,FALSE)</f>
        <v>SC_10_50008E</v>
      </c>
      <c r="B222" t="s">
        <v>282</v>
      </c>
      <c r="C222">
        <f>VLOOKUP(A222,sr[],2,FALSE)</f>
        <v>2010</v>
      </c>
      <c r="D222">
        <v>2</v>
      </c>
      <c r="E222">
        <v>3</v>
      </c>
      <c r="F222" t="s">
        <v>2572</v>
      </c>
      <c r="H222" t="str" cm="1">
        <f t="array" ref="H222">_xlfn.IFS(D222=E222,"x",ISBLANK(E222),"Blank", ISBLANK(D222), "Blank",D222&lt;&gt;E222," ")</f>
        <v xml:space="preserve"> </v>
      </c>
    </row>
    <row r="223" spans="1:8" x14ac:dyDescent="0.3">
      <c r="A223" t="str">
        <f>VLOOKUP(B223,lookup[],2,FALSE)</f>
        <v>SC_10_50055E</v>
      </c>
      <c r="B223" t="s">
        <v>302</v>
      </c>
      <c r="C223">
        <f>VLOOKUP(A223,sr[],2,FALSE)</f>
        <v>2010</v>
      </c>
      <c r="D223">
        <v>3</v>
      </c>
      <c r="E223">
        <v>3</v>
      </c>
      <c r="F223" t="s">
        <v>2572</v>
      </c>
      <c r="H223" t="str" cm="1">
        <f t="array" ref="H223">_xlfn.IFS(D223=E223,"x",ISBLANK(E223),"Blank", ISBLANK(D223), "Blank",D223&lt;&gt;E223," ")</f>
        <v>x</v>
      </c>
    </row>
    <row r="224" spans="1:8" x14ac:dyDescent="0.3">
      <c r="A224" t="str">
        <f>VLOOKUP(B224,lookup[],2,FALSE)</f>
        <v>SC_10_50066E</v>
      </c>
      <c r="B224" t="s">
        <v>318</v>
      </c>
      <c r="C224">
        <f>VLOOKUP(A224,sr[],2,FALSE)</f>
        <v>2010</v>
      </c>
      <c r="D224">
        <v>3</v>
      </c>
      <c r="E224">
        <v>3</v>
      </c>
      <c r="F224" t="s">
        <v>2572</v>
      </c>
      <c r="H224" t="str" cm="1">
        <f t="array" ref="H224">_xlfn.IFS(D224=E224,"x",ISBLANK(E224),"Blank", ISBLANK(D224), "Blank",D224&lt;&gt;E224," ")</f>
        <v>x</v>
      </c>
    </row>
    <row r="225" spans="1:8" x14ac:dyDescent="0.3">
      <c r="A225" t="str">
        <f>VLOOKUP(B225,lookup[],2,FALSE)</f>
        <v>SC_11_50015E</v>
      </c>
      <c r="B225" t="s">
        <v>704</v>
      </c>
      <c r="C225">
        <f>VLOOKUP(A225,sr[],2,FALSE)</f>
        <v>2011</v>
      </c>
      <c r="D225">
        <v>4</v>
      </c>
      <c r="E225">
        <v>4</v>
      </c>
      <c r="F225" t="s">
        <v>2572</v>
      </c>
      <c r="H225" t="str" cm="1">
        <f t="array" ref="H225">_xlfn.IFS(D225=E225,"x",ISBLANK(E225),"Blank", ISBLANK(D225), "Blank",D225&lt;&gt;E225," ")</f>
        <v>x</v>
      </c>
    </row>
    <row r="226" spans="1:8" x14ac:dyDescent="0.3">
      <c r="A226" t="str">
        <f>VLOOKUP(B226,lookup[],2,FALSE)</f>
        <v>SC_09_50009E</v>
      </c>
      <c r="B226" t="s">
        <v>190</v>
      </c>
      <c r="C226">
        <f>VLOOKUP(A226,sr[],2,FALSE)</f>
        <v>2008</v>
      </c>
      <c r="E226">
        <v>3</v>
      </c>
      <c r="F226" t="s">
        <v>2572</v>
      </c>
      <c r="G226" t="s">
        <v>17</v>
      </c>
      <c r="H226" t="str" cm="1">
        <f t="array" ref="H226">_xlfn.IFS(D226=E226,"x",ISBLANK(E226),"Blank", ISBLANK(D226), "Blank",D226&lt;&gt;E226," ")</f>
        <v>Blank</v>
      </c>
    </row>
    <row r="227" spans="1:8" x14ac:dyDescent="0.3">
      <c r="A227" t="str">
        <f>VLOOKUP(B227,lookup[],2,FALSE)</f>
        <v>SC_09_50023E</v>
      </c>
      <c r="B227" t="s">
        <v>210</v>
      </c>
      <c r="C227">
        <f>VLOOKUP(A227,sr[],2,FALSE)</f>
        <v>2009</v>
      </c>
      <c r="D227">
        <v>3</v>
      </c>
      <c r="E227">
        <v>4</v>
      </c>
      <c r="F227" t="s">
        <v>2572</v>
      </c>
      <c r="H227" t="str" cm="1">
        <f t="array" ref="H227">_xlfn.IFS(D227=E227,"x",ISBLANK(E227),"Blank", ISBLANK(D227), "Blank",D227&lt;&gt;E227," ")</f>
        <v xml:space="preserve"> </v>
      </c>
    </row>
    <row r="228" spans="1:8" x14ac:dyDescent="0.3">
      <c r="A228" t="str">
        <f>VLOOKUP(B228,lookup[],2,FALSE)</f>
        <v>SC_10_50007E</v>
      </c>
      <c r="B228" t="s">
        <v>280</v>
      </c>
      <c r="C228">
        <f>VLOOKUP(A228,sr[],2,FALSE)</f>
        <v>2010</v>
      </c>
      <c r="D228">
        <v>3</v>
      </c>
      <c r="E228">
        <v>3</v>
      </c>
      <c r="F228" t="s">
        <v>2572</v>
      </c>
      <c r="H228" t="str" cm="1">
        <f t="array" ref="H228">_xlfn.IFS(D228=E228,"x",ISBLANK(E228),"Blank", ISBLANK(D228), "Blank",D228&lt;&gt;E228," ")</f>
        <v>x</v>
      </c>
    </row>
    <row r="229" spans="1:8" x14ac:dyDescent="0.3">
      <c r="A229" t="str">
        <f>VLOOKUP(B229,lookup[],2,FALSE)</f>
        <v>SC_10_50054E</v>
      </c>
      <c r="B229" t="s">
        <v>300</v>
      </c>
      <c r="C229">
        <f>VLOOKUP(A229,sr[],2,FALSE)</f>
        <v>2010</v>
      </c>
      <c r="D229">
        <v>3</v>
      </c>
      <c r="E229">
        <v>3</v>
      </c>
      <c r="F229" t="s">
        <v>2572</v>
      </c>
      <c r="H229" t="str" cm="1">
        <f t="array" ref="H229">_xlfn.IFS(D229=E229,"x",ISBLANK(E229),"Blank", ISBLANK(D229), "Blank",D229&lt;&gt;E229," ")</f>
        <v>x</v>
      </c>
    </row>
    <row r="230" spans="1:8" x14ac:dyDescent="0.3">
      <c r="A230" t="str">
        <f>VLOOKUP(B230,lookup[],2,FALSE)</f>
        <v>SC_10_50065E</v>
      </c>
      <c r="B230" t="s">
        <v>316</v>
      </c>
      <c r="C230">
        <f>VLOOKUP(A230,sr[],2,FALSE)</f>
        <v>2010</v>
      </c>
      <c r="D230">
        <v>3</v>
      </c>
      <c r="E230">
        <v>3</v>
      </c>
      <c r="F230" t="s">
        <v>2572</v>
      </c>
      <c r="H230" t="str" cm="1">
        <f t="array" ref="H230">_xlfn.IFS(D230=E230,"x",ISBLANK(E230),"Blank", ISBLANK(D230), "Blank",D230&lt;&gt;E230," ")</f>
        <v>x</v>
      </c>
    </row>
    <row r="231" spans="1:8" x14ac:dyDescent="0.3">
      <c r="A231" t="str">
        <f>VLOOKUP(B231,lookup[],2,FALSE)</f>
        <v>SC_11_50014E</v>
      </c>
      <c r="B231" t="s">
        <v>702</v>
      </c>
      <c r="C231">
        <f>VLOOKUP(A231,sr[],2,FALSE)</f>
        <v>2011</v>
      </c>
      <c r="D231">
        <v>3</v>
      </c>
      <c r="E231">
        <v>3</v>
      </c>
      <c r="F231" t="s">
        <v>2572</v>
      </c>
      <c r="H231" t="str" cm="1">
        <f t="array" ref="H231">_xlfn.IFS(D231=E231,"x",ISBLANK(E231),"Blank", ISBLANK(D231), "Blank",D231&lt;&gt;E231," ")</f>
        <v>x</v>
      </c>
    </row>
    <row r="232" spans="1:8" x14ac:dyDescent="0.3">
      <c r="A232" t="str">
        <f>VLOOKUP(B232,lookup[],2,FALSE)</f>
        <v>SC_09_50008E</v>
      </c>
      <c r="B232" t="s">
        <v>188</v>
      </c>
      <c r="C232">
        <f>VLOOKUP(A232,sr[],2,FALSE)</f>
        <v>2009</v>
      </c>
      <c r="D232">
        <v>2</v>
      </c>
      <c r="E232">
        <v>3</v>
      </c>
      <c r="F232" t="s">
        <v>2572</v>
      </c>
      <c r="H232" t="str" cm="1">
        <f t="array" ref="H232">_xlfn.IFS(D232=E232,"x",ISBLANK(E232),"Blank", ISBLANK(D232), "Blank",D232&lt;&gt;E232," ")</f>
        <v xml:space="preserve"> </v>
      </c>
    </row>
    <row r="233" spans="1:8" x14ac:dyDescent="0.3">
      <c r="A233" t="str">
        <f>VLOOKUP(B233,lookup[],2,FALSE)</f>
        <v>SC_09_50022E</v>
      </c>
      <c r="B233" t="s">
        <v>208</v>
      </c>
      <c r="C233">
        <f>VLOOKUP(A233,sr[],2,FALSE)</f>
        <v>2009</v>
      </c>
      <c r="D233">
        <v>3</v>
      </c>
      <c r="E233">
        <v>3</v>
      </c>
      <c r="F233" t="s">
        <v>2572</v>
      </c>
      <c r="H233" t="str" cm="1">
        <f t="array" ref="H233">_xlfn.IFS(D233=E233,"x",ISBLANK(E233),"Blank", ISBLANK(D233), "Blank",D233&lt;&gt;E233," ")</f>
        <v>x</v>
      </c>
    </row>
    <row r="234" spans="1:8" x14ac:dyDescent="0.3">
      <c r="A234" t="str">
        <f>VLOOKUP(B234,lookup[],2,FALSE)</f>
        <v>SC_10_50006E</v>
      </c>
      <c r="B234" t="s">
        <v>278</v>
      </c>
      <c r="C234">
        <f>VLOOKUP(A234,sr[],2,FALSE)</f>
        <v>2010</v>
      </c>
      <c r="D234">
        <v>3</v>
      </c>
      <c r="E234">
        <v>3</v>
      </c>
      <c r="F234" t="s">
        <v>2572</v>
      </c>
      <c r="H234" t="str" cm="1">
        <f t="array" ref="H234">_xlfn.IFS(D234=E234,"x",ISBLANK(E234),"Blank", ISBLANK(D234), "Blank",D234&lt;&gt;E234," ")</f>
        <v>x</v>
      </c>
    </row>
    <row r="235" spans="1:8" x14ac:dyDescent="0.3">
      <c r="A235" t="str">
        <f>VLOOKUP(B235,lookup[],2,FALSE)</f>
        <v>SC_10_50052E</v>
      </c>
      <c r="B235" t="s">
        <v>298</v>
      </c>
      <c r="C235">
        <f>VLOOKUP(A235,sr[],2,FALSE)</f>
        <v>2010</v>
      </c>
      <c r="D235">
        <v>3</v>
      </c>
      <c r="E235">
        <v>3</v>
      </c>
      <c r="F235" t="s">
        <v>2572</v>
      </c>
      <c r="H235" t="str" cm="1">
        <f t="array" ref="H235">_xlfn.IFS(D235=E235,"x",ISBLANK(E235),"Blank", ISBLANK(D235), "Blank",D235&lt;&gt;E235," ")</f>
        <v>x</v>
      </c>
    </row>
    <row r="236" spans="1:8" x14ac:dyDescent="0.3">
      <c r="A236" t="str">
        <f>VLOOKUP(B236,lookup[],2,FALSE)</f>
        <v>SC_10_50063E</v>
      </c>
      <c r="B236" t="s">
        <v>314</v>
      </c>
      <c r="C236">
        <f>VLOOKUP(A236,sr[],2,FALSE)</f>
        <v>2010</v>
      </c>
      <c r="D236">
        <v>2</v>
      </c>
      <c r="F236" t="s">
        <v>2572</v>
      </c>
      <c r="H236" t="str" cm="1">
        <f t="array" ref="H236">_xlfn.IFS(D236=E236,"x",ISBLANK(E236),"Blank", ISBLANK(D236), "Blank",D236&lt;&gt;E236," ")</f>
        <v>Blank</v>
      </c>
    </row>
    <row r="237" spans="1:8" x14ac:dyDescent="0.3">
      <c r="A237" t="str">
        <f>VLOOKUP(B237,lookup[],2,FALSE)</f>
        <v>SC_11_50013E</v>
      </c>
      <c r="B237" t="s">
        <v>700</v>
      </c>
      <c r="C237">
        <f>VLOOKUP(A237,sr[],2,FALSE)</f>
        <v>2011</v>
      </c>
      <c r="D237">
        <v>3</v>
      </c>
      <c r="E237">
        <v>3</v>
      </c>
      <c r="F237" t="s">
        <v>2572</v>
      </c>
      <c r="H237" t="str" cm="1">
        <f t="array" ref="H237">_xlfn.IFS(D237=E237,"x",ISBLANK(E237),"Blank", ISBLANK(D237), "Blank",D237&lt;&gt;E237," ")</f>
        <v>x</v>
      </c>
    </row>
    <row r="238" spans="1:8" x14ac:dyDescent="0.3">
      <c r="A238" t="str">
        <f>VLOOKUP(B238,lookup[],2,FALSE)</f>
        <v>SC_09_50007E</v>
      </c>
      <c r="B238" t="s">
        <v>186</v>
      </c>
      <c r="C238">
        <f>VLOOKUP(A238,sr[],2,FALSE)</f>
        <v>2009</v>
      </c>
      <c r="D238">
        <v>3</v>
      </c>
      <c r="E238">
        <v>3</v>
      </c>
      <c r="F238" t="s">
        <v>2572</v>
      </c>
      <c r="H238" t="str" cm="1">
        <f t="array" ref="H238">_xlfn.IFS(D238=E238,"x",ISBLANK(E238),"Blank", ISBLANK(D238), "Blank",D238&lt;&gt;E238," ")</f>
        <v>x</v>
      </c>
    </row>
    <row r="239" spans="1:8" x14ac:dyDescent="0.3">
      <c r="A239" t="str">
        <f>VLOOKUP(B239,lookup[],2,FALSE)</f>
        <v>SC_09_50021E</v>
      </c>
      <c r="B239" t="s">
        <v>206</v>
      </c>
      <c r="C239">
        <f>VLOOKUP(A239,sr[],2,FALSE)</f>
        <v>2009</v>
      </c>
      <c r="D239">
        <v>3</v>
      </c>
      <c r="E239">
        <v>3</v>
      </c>
      <c r="F239" t="s">
        <v>2572</v>
      </c>
      <c r="H239" t="str" cm="1">
        <f t="array" ref="H239">_xlfn.IFS(D239=E239,"x",ISBLANK(E239),"Blank", ISBLANK(D239), "Blank",D239&lt;&gt;E239," ")</f>
        <v>x</v>
      </c>
    </row>
    <row r="240" spans="1:8" x14ac:dyDescent="0.3">
      <c r="A240" t="str">
        <f>VLOOKUP(B240,lookup[],2,FALSE)</f>
        <v>SC_10_50005E</v>
      </c>
      <c r="B240" t="s">
        <v>276</v>
      </c>
      <c r="C240">
        <f>VLOOKUP(A240,sr[],2,FALSE)</f>
        <v>2010</v>
      </c>
      <c r="E240">
        <v>3</v>
      </c>
      <c r="F240" t="s">
        <v>2572</v>
      </c>
      <c r="G240" t="s">
        <v>2565</v>
      </c>
      <c r="H240" t="str" cm="1">
        <f t="array" ref="H240">_xlfn.IFS(D240=E240,"x",ISBLANK(E240),"Blank", ISBLANK(D240), "Blank",D240&lt;&gt;E240," ")</f>
        <v>Blank</v>
      </c>
    </row>
    <row r="241" spans="1:8" x14ac:dyDescent="0.3">
      <c r="A241" t="str">
        <f>VLOOKUP(B241,lookup[],2,FALSE)</f>
        <v>SC_10_50050E</v>
      </c>
      <c r="B241" t="s">
        <v>296</v>
      </c>
      <c r="C241">
        <f>VLOOKUP(A241,sr[],2,FALSE)</f>
        <v>2010</v>
      </c>
      <c r="F241" t="s">
        <v>2572</v>
      </c>
      <c r="G241" t="s">
        <v>17</v>
      </c>
    </row>
    <row r="242" spans="1:8" x14ac:dyDescent="0.3">
      <c r="A242" t="str">
        <f>VLOOKUP(B242,lookup[],2,FALSE)</f>
        <v>SC_10_50061E</v>
      </c>
      <c r="B242" t="s">
        <v>312</v>
      </c>
      <c r="C242">
        <f>VLOOKUP(A242,sr[],2,FALSE)</f>
        <v>2010</v>
      </c>
      <c r="E242">
        <v>3</v>
      </c>
      <c r="F242" t="s">
        <v>2572</v>
      </c>
      <c r="G242" t="s">
        <v>17</v>
      </c>
      <c r="H242" t="str" cm="1">
        <f t="array" ref="H242">_xlfn.IFS(D242=E242,"x",ISBLANK(E242),"Blank", ISBLANK(D242), "Blank",D242&lt;&gt;E242," ")</f>
        <v>Blank</v>
      </c>
    </row>
    <row r="243" spans="1:8" x14ac:dyDescent="0.3">
      <c r="A243" t="str">
        <f>VLOOKUP(B243,lookup[],2,FALSE)</f>
        <v>SC_11_50012E</v>
      </c>
      <c r="B243" t="s">
        <v>698</v>
      </c>
      <c r="C243">
        <f>VLOOKUP(A243,sr[],2,FALSE)</f>
        <v>2011</v>
      </c>
      <c r="D243">
        <v>3</v>
      </c>
      <c r="E243">
        <v>4</v>
      </c>
      <c r="F243" t="s">
        <v>2572</v>
      </c>
      <c r="H243" t="str" cm="1">
        <f t="array" ref="H243">_xlfn.IFS(D243=E243,"x",ISBLANK(E243),"Blank", ISBLANK(D243), "Blank",D243&lt;&gt;E243," ")</f>
        <v xml:space="preserve"> </v>
      </c>
    </row>
    <row r="244" spans="1:8" x14ac:dyDescent="0.3">
      <c r="A244" t="str">
        <f>VLOOKUP(B244,lookup[],2,FALSE)</f>
        <v>SC_08_50017E</v>
      </c>
      <c r="B244" t="s">
        <v>174</v>
      </c>
      <c r="C244">
        <f>VLOOKUP(A244,sr[],2,FALSE)</f>
        <v>2008</v>
      </c>
      <c r="D244">
        <v>2</v>
      </c>
      <c r="E244">
        <v>3</v>
      </c>
      <c r="F244" t="s">
        <v>2572</v>
      </c>
      <c r="H244" t="str" cm="1">
        <f t="array" ref="H244">_xlfn.IFS(D244=E244,"x",ISBLANK(E244),"Blank", ISBLANK(D244), "Blank",D244&lt;&gt;E244," ")</f>
        <v xml:space="preserve"> </v>
      </c>
    </row>
    <row r="245" spans="1:8" x14ac:dyDescent="0.3">
      <c r="A245" t="str">
        <f>VLOOKUP(B245,lookup[],2,FALSE)</f>
        <v>SC_09_50006E</v>
      </c>
      <c r="B245" t="s">
        <v>184</v>
      </c>
      <c r="C245">
        <f>VLOOKUP(A245,sr[],2,FALSE)</f>
        <v>2009</v>
      </c>
      <c r="F245" t="s">
        <v>2572</v>
      </c>
      <c r="G245" t="s">
        <v>2565</v>
      </c>
    </row>
    <row r="246" spans="1:8" x14ac:dyDescent="0.3">
      <c r="A246" t="str">
        <f>VLOOKUP(B246,lookup[],2,FALSE)</f>
        <v>SC_09_50017E</v>
      </c>
      <c r="B246" t="s">
        <v>204</v>
      </c>
      <c r="C246">
        <f>VLOOKUP(A246,sr[],2,FALSE)</f>
        <v>2009</v>
      </c>
      <c r="D246">
        <v>3</v>
      </c>
      <c r="E246">
        <v>3</v>
      </c>
      <c r="F246" t="s">
        <v>2572</v>
      </c>
      <c r="G246" t="s">
        <v>2565</v>
      </c>
      <c r="H246" t="str" cm="1">
        <f t="array" ref="H246">_xlfn.IFS(D246=E246,"x",ISBLANK(E246),"Blank", ISBLANK(D246), "Blank",D246&lt;&gt;E246," ")</f>
        <v>x</v>
      </c>
    </row>
    <row r="247" spans="1:8" x14ac:dyDescent="0.3">
      <c r="A247" t="str">
        <f>VLOOKUP(B247,lookup[],2,FALSE)</f>
        <v>SC_10_50004E</v>
      </c>
      <c r="B247" t="s">
        <v>274</v>
      </c>
      <c r="C247">
        <f>VLOOKUP(A247,sr[],2,FALSE)</f>
        <v>2010</v>
      </c>
      <c r="D247">
        <v>3</v>
      </c>
      <c r="E247">
        <v>3</v>
      </c>
      <c r="F247" t="s">
        <v>2572</v>
      </c>
      <c r="H247" t="str" cm="1">
        <f t="array" ref="H247">_xlfn.IFS(D247=E247,"x",ISBLANK(E247),"Blank", ISBLANK(D247), "Blank",D247&lt;&gt;E247," ")</f>
        <v>x</v>
      </c>
    </row>
    <row r="248" spans="1:8" x14ac:dyDescent="0.3">
      <c r="A248" t="str">
        <f>VLOOKUP(B248,lookup[],2,FALSE)</f>
        <v>SC_10_50014E</v>
      </c>
      <c r="B248" t="s">
        <v>294</v>
      </c>
      <c r="C248">
        <f>VLOOKUP(A248,sr[],2,FALSE)</f>
        <v>2010</v>
      </c>
      <c r="D248">
        <v>2</v>
      </c>
      <c r="E248">
        <v>2</v>
      </c>
      <c r="F248" t="s">
        <v>2572</v>
      </c>
      <c r="H248" t="str" cm="1">
        <f t="array" ref="H248">_xlfn.IFS(D248=E248,"x",ISBLANK(E248),"Blank", ISBLANK(D248), "Blank",D248&lt;&gt;E248," ")</f>
        <v>x</v>
      </c>
    </row>
    <row r="249" spans="1:8" x14ac:dyDescent="0.3">
      <c r="A249" t="str">
        <f>VLOOKUP(B249,lookup[],2,FALSE)</f>
        <v>SC_10_50060E</v>
      </c>
      <c r="B249" t="s">
        <v>310</v>
      </c>
      <c r="C249">
        <f>VLOOKUP(A249,sr[],2,FALSE)</f>
        <v>2010</v>
      </c>
      <c r="D249">
        <v>2</v>
      </c>
      <c r="E249">
        <v>3</v>
      </c>
      <c r="F249" t="s">
        <v>2572</v>
      </c>
      <c r="G249" t="s">
        <v>2565</v>
      </c>
      <c r="H249" t="str" cm="1">
        <f t="array" ref="H249">_xlfn.IFS(D249=E249,"x",ISBLANK(E249),"Blank", ISBLANK(D249), "Blank",D249&lt;&gt;E249," ")</f>
        <v xml:space="preserve"> </v>
      </c>
    </row>
    <row r="250" spans="1:8" x14ac:dyDescent="0.3">
      <c r="A250" t="str">
        <f>VLOOKUP(B250,lookup[],2,FALSE)</f>
        <v>SC_11_50011E</v>
      </c>
      <c r="B250" t="s">
        <v>696</v>
      </c>
      <c r="C250">
        <f>VLOOKUP(A250,sr[],2,FALSE)</f>
        <v>2011</v>
      </c>
      <c r="F250" t="s">
        <v>2572</v>
      </c>
      <c r="G250" t="s">
        <v>2569</v>
      </c>
    </row>
    <row r="251" spans="1:8" x14ac:dyDescent="0.3">
      <c r="A251" t="str">
        <f>VLOOKUP(B251,lookup[],2,FALSE)</f>
        <v>SC_07_50058E</v>
      </c>
      <c r="B251" t="s">
        <v>164</v>
      </c>
      <c r="C251">
        <f>VLOOKUP(A251,sr[],2,FALSE)</f>
        <v>2007</v>
      </c>
      <c r="D251">
        <v>3</v>
      </c>
      <c r="E251">
        <v>3</v>
      </c>
      <c r="F251" t="s">
        <v>2572</v>
      </c>
      <c r="H251" t="str" cm="1">
        <f t="array" ref="H251">_xlfn.IFS(D251=E251,"x",ISBLANK(E251),"Blank", ISBLANK(D251), "Blank",D251&lt;&gt;E251," ")</f>
        <v>x</v>
      </c>
    </row>
    <row r="252" spans="1:8" x14ac:dyDescent="0.3">
      <c r="A252" t="str">
        <f>VLOOKUP(B252,lookup[],2,FALSE)</f>
        <v>SC_09_50005E</v>
      </c>
      <c r="B252" t="s">
        <v>182</v>
      </c>
      <c r="C252">
        <f>VLOOKUP(A252,sr[],2,FALSE)</f>
        <v>2009</v>
      </c>
      <c r="D252">
        <v>3</v>
      </c>
      <c r="E252">
        <v>3</v>
      </c>
      <c r="F252" t="s">
        <v>2572</v>
      </c>
      <c r="G252" t="s">
        <v>2560</v>
      </c>
      <c r="H252" t="str" cm="1">
        <f t="array" ref="H252">_xlfn.IFS(D252=E252,"x",ISBLANK(E252),"Blank", ISBLANK(D252), "Blank",D252&lt;&gt;E252," ")</f>
        <v>x</v>
      </c>
    </row>
    <row r="253" spans="1:8" x14ac:dyDescent="0.3">
      <c r="A253" t="str">
        <f>VLOOKUP(B253,lookup[],2,FALSE)</f>
        <v>SC_08_50016E</v>
      </c>
      <c r="B253" t="s">
        <v>172</v>
      </c>
      <c r="C253">
        <f>VLOOKUP(A253,sr[],2,FALSE)</f>
        <v>2008</v>
      </c>
      <c r="D253">
        <v>3</v>
      </c>
      <c r="E253">
        <v>3</v>
      </c>
      <c r="F253" t="s">
        <v>2572</v>
      </c>
      <c r="H253" t="str" cm="1">
        <f t="array" ref="H253">_xlfn.IFS(D253=E253,"x",ISBLANK(E253),"Blank", ISBLANK(D253), "Blank",D253&lt;&gt;E253," ")</f>
        <v>x</v>
      </c>
    </row>
    <row r="254" spans="1:8" x14ac:dyDescent="0.3">
      <c r="A254" t="str">
        <f>VLOOKUP(B254,lookup[],2,FALSE)</f>
        <v>SC_09_50016E</v>
      </c>
      <c r="B254" t="s">
        <v>202</v>
      </c>
      <c r="C254">
        <f>VLOOKUP(A254,sr[],2,FALSE)</f>
        <v>2009</v>
      </c>
      <c r="D254">
        <v>3</v>
      </c>
      <c r="E254">
        <v>2</v>
      </c>
      <c r="F254" t="s">
        <v>2572</v>
      </c>
      <c r="H254" t="str" cm="1">
        <f t="array" ref="H254">_xlfn.IFS(D254=E254,"x",ISBLANK(E254),"Blank", ISBLANK(D254), "Blank",D254&lt;&gt;E254," ")</f>
        <v xml:space="preserve"> </v>
      </c>
    </row>
    <row r="255" spans="1:8" x14ac:dyDescent="0.3">
      <c r="A255" t="str">
        <f>VLOOKUP(B255,lookup[],2,FALSE)</f>
        <v>SC_10_50003E</v>
      </c>
      <c r="B255" t="s">
        <v>272</v>
      </c>
      <c r="C255">
        <f>VLOOKUP(A255,sr[],2,FALSE)</f>
        <v>2010</v>
      </c>
      <c r="E255">
        <v>3</v>
      </c>
      <c r="F255" t="s">
        <v>2572</v>
      </c>
      <c r="G255" t="s">
        <v>2565</v>
      </c>
      <c r="H255" t="str" cm="1">
        <f t="array" ref="H255">_xlfn.IFS(D255=E255,"x",ISBLANK(E255),"Blank", ISBLANK(D255), "Blank",D255&lt;&gt;E255," ")</f>
        <v>Blank</v>
      </c>
    </row>
    <row r="256" spans="1:8" x14ac:dyDescent="0.3">
      <c r="A256" t="str">
        <f>VLOOKUP(B256,lookup[],2,FALSE)</f>
        <v>SC_10_50013E</v>
      </c>
      <c r="B256" t="s">
        <v>292</v>
      </c>
      <c r="C256" t="e">
        <f>VLOOKUP(A256,sr[],2,FALSE)</f>
        <v>#N/A</v>
      </c>
      <c r="D256">
        <v>3</v>
      </c>
      <c r="E256">
        <v>3</v>
      </c>
      <c r="F256" t="s">
        <v>2572</v>
      </c>
      <c r="H256" t="str" cm="1">
        <f t="array" ref="H256">_xlfn.IFS(D256=E256,"x",ISBLANK(E256),"Blank", ISBLANK(D256), "Blank",D256&lt;&gt;E256," ")</f>
        <v>x</v>
      </c>
    </row>
    <row r="257" spans="1:8" x14ac:dyDescent="0.3">
      <c r="A257" t="str">
        <f>VLOOKUP(B257,lookup[],2,FALSE)</f>
        <v>SC_10_50059E</v>
      </c>
      <c r="B257" t="s">
        <v>308</v>
      </c>
      <c r="C257">
        <f>VLOOKUP(A257,sr[],2,FALSE)</f>
        <v>2010</v>
      </c>
      <c r="D257">
        <v>4</v>
      </c>
      <c r="E257">
        <v>4</v>
      </c>
      <c r="F257" t="s">
        <v>2572</v>
      </c>
      <c r="H257" t="str" cm="1">
        <f t="array" ref="H257">_xlfn.IFS(D257=E257,"x",ISBLANK(E257),"Blank", ISBLANK(D257), "Blank",D257&lt;&gt;E257," ")</f>
        <v>x</v>
      </c>
    </row>
    <row r="258" spans="1:8" x14ac:dyDescent="0.3">
      <c r="A258" t="str">
        <f>VLOOKUP(B258,lookup[],2,FALSE)</f>
        <v>SC_14_50005E</v>
      </c>
      <c r="B258" t="s">
        <v>1228</v>
      </c>
      <c r="C258">
        <f>VLOOKUP(A258,sr[],2,FALSE)</f>
        <v>2014</v>
      </c>
      <c r="D258">
        <v>3</v>
      </c>
      <c r="E258">
        <v>3</v>
      </c>
      <c r="F258" t="s">
        <v>2571</v>
      </c>
      <c r="H258" t="str" cm="1">
        <f t="array" ref="H258">_xlfn.IFS(D258=E258,"x",ISBLANK(E258),"Blank", ISBLANK(D258), "Blank",D258&lt;&gt;E258," ")</f>
        <v>x</v>
      </c>
    </row>
    <row r="259" spans="1:8" x14ac:dyDescent="0.3">
      <c r="A259" t="str">
        <f>VLOOKUP(B259,lookup[],2,FALSE)</f>
        <v>SC_14_50006E</v>
      </c>
      <c r="B259" t="s">
        <v>1230</v>
      </c>
      <c r="C259">
        <f>VLOOKUP(A259,sr[],2,FALSE)</f>
        <v>2014</v>
      </c>
      <c r="D259">
        <v>4</v>
      </c>
      <c r="E259">
        <v>4</v>
      </c>
      <c r="F259" t="s">
        <v>2571</v>
      </c>
      <c r="H259" t="str" cm="1">
        <f t="array" ref="H259">_xlfn.IFS(D259=E259,"x",ISBLANK(E259),"Blank", ISBLANK(D259), "Blank",D259&lt;&gt;E259," ")</f>
        <v>x</v>
      </c>
    </row>
    <row r="260" spans="1:8" x14ac:dyDescent="0.3">
      <c r="A260" t="str">
        <f>VLOOKUP(B260,lookup[],2,FALSE)</f>
        <v>SC_14_50007E</v>
      </c>
      <c r="B260" t="s">
        <v>1232</v>
      </c>
      <c r="C260">
        <f>VLOOKUP(A260,sr[],2,FALSE)</f>
        <v>2014</v>
      </c>
      <c r="D260">
        <v>3</v>
      </c>
      <c r="E260">
        <v>4</v>
      </c>
      <c r="F260" t="s">
        <v>2571</v>
      </c>
      <c r="H260" t="str" cm="1">
        <f t="array" ref="H260">_xlfn.IFS(D260=E260,"x",ISBLANK(E260),"Blank", ISBLANK(D260), "Blank",D260&lt;&gt;E260," ")</f>
        <v xml:space="preserve"> </v>
      </c>
    </row>
    <row r="261" spans="1:8" x14ac:dyDescent="0.3">
      <c r="A261" t="str">
        <f>VLOOKUP(B261,lookup[],2,FALSE)</f>
        <v>SC_14_50008E</v>
      </c>
      <c r="B261" t="s">
        <v>1234</v>
      </c>
      <c r="C261">
        <f>VLOOKUP(A261,sr[],2,FALSE)</f>
        <v>2014</v>
      </c>
      <c r="D261">
        <v>3</v>
      </c>
      <c r="E261">
        <v>3</v>
      </c>
      <c r="F261" t="s">
        <v>2571</v>
      </c>
      <c r="H261" t="str" cm="1">
        <f t="array" ref="H261">_xlfn.IFS(D261=E261,"x",ISBLANK(E261),"Blank", ISBLANK(D261), "Blank",D261&lt;&gt;E261," ")</f>
        <v>x</v>
      </c>
    </row>
    <row r="262" spans="1:8" x14ac:dyDescent="0.3">
      <c r="A262" t="str">
        <f>VLOOKUP(B262,lookup[],2,FALSE)</f>
        <v>SC_14_50009E</v>
      </c>
      <c r="B262" t="s">
        <v>1236</v>
      </c>
      <c r="C262">
        <f>VLOOKUP(A262,sr[],2,FALSE)</f>
        <v>2014</v>
      </c>
      <c r="D262">
        <v>3</v>
      </c>
      <c r="E262">
        <v>3</v>
      </c>
      <c r="F262" t="s">
        <v>2571</v>
      </c>
      <c r="H262" t="str" cm="1">
        <f t="array" ref="H262">_xlfn.IFS(D262=E262,"x",ISBLANK(E262),"Blank", ISBLANK(D262), "Blank",D262&lt;&gt;E262," ")</f>
        <v>x</v>
      </c>
    </row>
    <row r="263" spans="1:8" x14ac:dyDescent="0.3">
      <c r="A263" t="str">
        <f>VLOOKUP(B263,lookup[],2,FALSE)</f>
        <v>SC_14_50023E</v>
      </c>
      <c r="B263" t="s">
        <v>1238</v>
      </c>
      <c r="C263">
        <f>VLOOKUP(A263,sr[],2,FALSE)</f>
        <v>2014</v>
      </c>
      <c r="D263">
        <v>4</v>
      </c>
      <c r="E263">
        <v>4</v>
      </c>
      <c r="F263" t="s">
        <v>2571</v>
      </c>
      <c r="H263" t="str" cm="1">
        <f t="array" ref="H263">_xlfn.IFS(D263=E263,"x",ISBLANK(E263),"Blank", ISBLANK(D263), "Blank",D263&lt;&gt;E263," ")</f>
        <v>x</v>
      </c>
    </row>
    <row r="264" spans="1:8" x14ac:dyDescent="0.3">
      <c r="A264" t="str">
        <f>VLOOKUP(B264,lookup[],2,FALSE)</f>
        <v>SC_14_50024E</v>
      </c>
      <c r="B264" t="s">
        <v>1240</v>
      </c>
      <c r="C264">
        <f>VLOOKUP(A264,sr[],2,FALSE)</f>
        <v>2014</v>
      </c>
      <c r="D264">
        <v>3</v>
      </c>
      <c r="E264">
        <v>3</v>
      </c>
      <c r="F264" t="s">
        <v>2571</v>
      </c>
      <c r="H264" t="str" cm="1">
        <f t="array" ref="H264">_xlfn.IFS(D264=E264,"x",ISBLANK(E264),"Blank", ISBLANK(D264), "Blank",D264&lt;&gt;E264," ")</f>
        <v>x</v>
      </c>
    </row>
    <row r="265" spans="1:8" x14ac:dyDescent="0.3">
      <c r="A265" t="str">
        <f>VLOOKUP(B265,lookup[],2,FALSE)</f>
        <v>SC_14_50025E</v>
      </c>
      <c r="B265" t="s">
        <v>1242</v>
      </c>
      <c r="C265">
        <f>VLOOKUP(A265,sr[],2,FALSE)</f>
        <v>2014</v>
      </c>
      <c r="D265">
        <v>3</v>
      </c>
      <c r="E265">
        <v>3</v>
      </c>
      <c r="F265" t="s">
        <v>2571</v>
      </c>
      <c r="H265" t="str" cm="1">
        <f t="array" ref="H265">_xlfn.IFS(D265=E265,"x",ISBLANK(E265),"Blank", ISBLANK(D265), "Blank",D265&lt;&gt;E265," ")</f>
        <v>x</v>
      </c>
    </row>
    <row r="266" spans="1:8" x14ac:dyDescent="0.3">
      <c r="A266" t="str">
        <f>VLOOKUP(B266,lookup[],2,FALSE)</f>
        <v>SC_14_50027E</v>
      </c>
      <c r="B266" t="s">
        <v>1244</v>
      </c>
      <c r="C266">
        <f>VLOOKUP(A266,sr[],2,FALSE)</f>
        <v>2014</v>
      </c>
      <c r="E266">
        <v>4</v>
      </c>
      <c r="F266" t="s">
        <v>2571</v>
      </c>
      <c r="G266" t="s">
        <v>2568</v>
      </c>
      <c r="H266" t="str" cm="1">
        <f t="array" ref="H266">_xlfn.IFS(D266=E266,"x",ISBLANK(E266),"Blank", ISBLANK(D266), "Blank",D266&lt;&gt;E266," ")</f>
        <v>Blank</v>
      </c>
    </row>
    <row r="267" spans="1:8" x14ac:dyDescent="0.3">
      <c r="A267" t="str">
        <f>VLOOKUP(B267,lookup[],2,FALSE)</f>
        <v>SC_14_50029E</v>
      </c>
      <c r="B267" t="s">
        <v>1246</v>
      </c>
      <c r="C267">
        <f>VLOOKUP(A267,sr[],2,FALSE)</f>
        <v>2014</v>
      </c>
      <c r="D267">
        <v>4</v>
      </c>
      <c r="E267">
        <v>4</v>
      </c>
      <c r="F267" t="s">
        <v>2571</v>
      </c>
      <c r="H267" t="str" cm="1">
        <f t="array" ref="H267">_xlfn.IFS(D267=E267,"x",ISBLANK(E267),"Blank", ISBLANK(D267), "Blank",D267&lt;&gt;E267," ")</f>
        <v>x</v>
      </c>
    </row>
    <row r="268" spans="1:8" x14ac:dyDescent="0.3">
      <c r="A268" t="str">
        <f>VLOOKUP(B268,lookup[],2,FALSE)</f>
        <v>SC_14_50032E</v>
      </c>
      <c r="B268" t="s">
        <v>1248</v>
      </c>
      <c r="C268">
        <f>VLOOKUP(A268,sr[],2,FALSE)</f>
        <v>2014</v>
      </c>
      <c r="D268">
        <v>3</v>
      </c>
      <c r="E268">
        <v>3</v>
      </c>
      <c r="F268" t="s">
        <v>2571</v>
      </c>
      <c r="H268" t="str" cm="1">
        <f t="array" ref="H268">_xlfn.IFS(D268=E268,"x",ISBLANK(E268),"Blank", ISBLANK(D268), "Blank",D268&lt;&gt;E268," ")</f>
        <v>x</v>
      </c>
    </row>
    <row r="269" spans="1:8" x14ac:dyDescent="0.3">
      <c r="A269" t="str">
        <f>VLOOKUP(B269,lookup[],2,FALSE)</f>
        <v>SC_14_50033E</v>
      </c>
      <c r="B269" t="s">
        <v>1250</v>
      </c>
      <c r="C269">
        <f>VLOOKUP(A269,sr[],2,FALSE)</f>
        <v>2014</v>
      </c>
      <c r="D269">
        <v>3</v>
      </c>
      <c r="E269">
        <v>3</v>
      </c>
      <c r="F269" t="s">
        <v>2571</v>
      </c>
      <c r="H269" t="str" cm="1">
        <f t="array" ref="H269">_xlfn.IFS(D269=E269,"x",ISBLANK(E269),"Blank", ISBLANK(D269), "Blank",D269&lt;&gt;E269," ")</f>
        <v>x</v>
      </c>
    </row>
    <row r="270" spans="1:8" x14ac:dyDescent="0.3">
      <c r="A270" t="str">
        <f>VLOOKUP(B270,lookup[],2,FALSE)</f>
        <v>SC_14_50034E</v>
      </c>
      <c r="B270" t="s">
        <v>1252</v>
      </c>
      <c r="C270">
        <f>VLOOKUP(A270,sr[],2,FALSE)</f>
        <v>2014</v>
      </c>
      <c r="D270">
        <v>3</v>
      </c>
      <c r="E270">
        <v>3</v>
      </c>
      <c r="F270" t="s">
        <v>2571</v>
      </c>
      <c r="H270" t="str" cm="1">
        <f t="array" ref="H270">_xlfn.IFS(D270=E270,"x",ISBLANK(E270),"Blank", ISBLANK(D270), "Blank",D270&lt;&gt;E270," ")</f>
        <v>x</v>
      </c>
    </row>
    <row r="271" spans="1:8" x14ac:dyDescent="0.3">
      <c r="A271" t="str">
        <f>VLOOKUP(B271,lookup[],2,FALSE)</f>
        <v>SC_14_50038E</v>
      </c>
      <c r="B271" t="s">
        <v>1254</v>
      </c>
      <c r="C271">
        <f>VLOOKUP(A271,sr[],2,FALSE)</f>
        <v>2014</v>
      </c>
      <c r="D271">
        <v>4</v>
      </c>
      <c r="E271">
        <v>4</v>
      </c>
      <c r="F271" t="s">
        <v>2571</v>
      </c>
      <c r="H271" t="str" cm="1">
        <f t="array" ref="H271">_xlfn.IFS(D271=E271,"x",ISBLANK(E271),"Blank", ISBLANK(D271), "Blank",D271&lt;&gt;E271," ")</f>
        <v>x</v>
      </c>
    </row>
    <row r="272" spans="1:8" x14ac:dyDescent="0.3">
      <c r="A272" t="str">
        <f>VLOOKUP(B272,lookup[],2,FALSE)</f>
        <v>SC_14_50039E</v>
      </c>
      <c r="B272" t="s">
        <v>1256</v>
      </c>
      <c r="C272">
        <f>VLOOKUP(A272,sr[],2,FALSE)</f>
        <v>2014</v>
      </c>
      <c r="D272">
        <v>3</v>
      </c>
      <c r="E272">
        <v>3</v>
      </c>
      <c r="F272" t="s">
        <v>2571</v>
      </c>
      <c r="H272" t="str" cm="1">
        <f t="array" ref="H272">_xlfn.IFS(D272=E272,"x",ISBLANK(E272),"Blank", ISBLANK(D272), "Blank",D272&lt;&gt;E272," ")</f>
        <v>x</v>
      </c>
    </row>
    <row r="273" spans="1:8" x14ac:dyDescent="0.3">
      <c r="A273" t="str">
        <f>VLOOKUP(B273,lookup[],2,FALSE)</f>
        <v>SC_14_50040E</v>
      </c>
      <c r="B273" t="s">
        <v>1258</v>
      </c>
      <c r="C273">
        <f>VLOOKUP(A273,sr[],2,FALSE)</f>
        <v>2014</v>
      </c>
      <c r="D273">
        <v>3</v>
      </c>
      <c r="E273">
        <v>3</v>
      </c>
      <c r="F273" t="s">
        <v>2571</v>
      </c>
      <c r="H273" t="str" cm="1">
        <f t="array" ref="H273">_xlfn.IFS(D273=E273,"x",ISBLANK(E273),"Blank", ISBLANK(D273), "Blank",D273&lt;&gt;E273," ")</f>
        <v>x</v>
      </c>
    </row>
    <row r="274" spans="1:8" x14ac:dyDescent="0.3">
      <c r="A274" t="str">
        <f>VLOOKUP(B274,lookup[],2,FALSE)</f>
        <v>SC_14_50041E</v>
      </c>
      <c r="B274" t="s">
        <v>1260</v>
      </c>
      <c r="C274">
        <f>VLOOKUP(A274,sr[],2,FALSE)</f>
        <v>2014</v>
      </c>
      <c r="D274">
        <v>3</v>
      </c>
      <c r="E274">
        <v>3</v>
      </c>
      <c r="F274" t="s">
        <v>2571</v>
      </c>
      <c r="H274" t="str" cm="1">
        <f t="array" ref="H274">_xlfn.IFS(D274=E274,"x",ISBLANK(E274),"Blank", ISBLANK(D274), "Blank",D274&lt;&gt;E274," ")</f>
        <v>x</v>
      </c>
    </row>
    <row r="275" spans="1:8" x14ac:dyDescent="0.3">
      <c r="A275" t="str">
        <f>VLOOKUP(B275,lookup[],2,FALSE)</f>
        <v>SC_14_50043E</v>
      </c>
      <c r="B275" t="s">
        <v>1262</v>
      </c>
      <c r="C275" t="e">
        <f>VLOOKUP(A275,sr[],2,FALSE)</f>
        <v>#N/A</v>
      </c>
      <c r="D275">
        <v>3</v>
      </c>
      <c r="E275">
        <v>3</v>
      </c>
      <c r="F275" t="s">
        <v>2571</v>
      </c>
      <c r="H275" t="str" cm="1">
        <f t="array" ref="H275">_xlfn.IFS(D275=E275,"x",ISBLANK(E275),"Blank", ISBLANK(D275), "Blank",D275&lt;&gt;E275," ")</f>
        <v>x</v>
      </c>
    </row>
    <row r="276" spans="1:8" x14ac:dyDescent="0.3">
      <c r="A276" t="str">
        <f>VLOOKUP(B276,lookup[],2,FALSE)</f>
        <v>SC_15_50004E</v>
      </c>
      <c r="B276" t="s">
        <v>1266</v>
      </c>
      <c r="C276">
        <f>VLOOKUP(A276,sr[],2,FALSE)</f>
        <v>2015</v>
      </c>
      <c r="D276">
        <v>3</v>
      </c>
      <c r="E276">
        <v>3</v>
      </c>
      <c r="F276" t="s">
        <v>2571</v>
      </c>
      <c r="H276" t="str" cm="1">
        <f t="array" ref="H276">_xlfn.IFS(D276=E276,"x",ISBLANK(E276),"Blank", ISBLANK(D276), "Blank",D276&lt;&gt;E276," ")</f>
        <v>x</v>
      </c>
    </row>
    <row r="277" spans="1:8" x14ac:dyDescent="0.3">
      <c r="A277" t="str">
        <f>VLOOKUP(B277,lookup[],2,FALSE)</f>
        <v>SC_15_50000E</v>
      </c>
      <c r="B277" t="s">
        <v>1264</v>
      </c>
      <c r="C277">
        <f>VLOOKUP(A277,sr[],2,FALSE)</f>
        <v>2015</v>
      </c>
      <c r="D277">
        <v>4</v>
      </c>
      <c r="E277">
        <v>3</v>
      </c>
      <c r="F277" t="s">
        <v>2571</v>
      </c>
      <c r="H277" t="str" cm="1">
        <f t="array" ref="H277">_xlfn.IFS(D277=E277,"x",ISBLANK(E277),"Blank", ISBLANK(D277), "Blank",D277&lt;&gt;E277," ")</f>
        <v xml:space="preserve"> </v>
      </c>
    </row>
    <row r="278" spans="1:8" x14ac:dyDescent="0.3">
      <c r="A278" t="str">
        <f>VLOOKUP(B278,lookup[],2,FALSE)</f>
        <v>SC_15_50010E</v>
      </c>
      <c r="B278" t="s">
        <v>1268</v>
      </c>
      <c r="C278">
        <f>VLOOKUP(A278,sr[],2,FALSE)</f>
        <v>2015</v>
      </c>
      <c r="D278">
        <v>4</v>
      </c>
      <c r="E278">
        <v>4</v>
      </c>
      <c r="F278" t="s">
        <v>2571</v>
      </c>
      <c r="H278" t="str" cm="1">
        <f t="array" ref="H278">_xlfn.IFS(D278=E278,"x",ISBLANK(E278),"Blank", ISBLANK(D278), "Blank",D278&lt;&gt;E278," ")</f>
        <v>x</v>
      </c>
    </row>
    <row r="279" spans="1:8" x14ac:dyDescent="0.3">
      <c r="A279" t="str">
        <f>VLOOKUP(B279,lookup[],2,FALSE)</f>
        <v>SC_11072019_261</v>
      </c>
      <c r="B279" t="s">
        <v>816</v>
      </c>
      <c r="C279" t="e">
        <f>VLOOKUP(A279,sr[],2,FALSE)</f>
        <v>#N/A</v>
      </c>
      <c r="D279">
        <v>3</v>
      </c>
      <c r="E279">
        <v>3</v>
      </c>
      <c r="F279" t="s">
        <v>2571</v>
      </c>
      <c r="H279" t="str" cm="1">
        <f t="array" ref="H279">_xlfn.IFS(D279=E279,"x",ISBLANK(E279),"Blank", ISBLANK(D279), "Blank",D279&lt;&gt;E279," ")</f>
        <v>x</v>
      </c>
    </row>
    <row r="280" spans="1:8" x14ac:dyDescent="0.3">
      <c r="A280" t="str">
        <f>VLOOKUP(B280,lookup[],2,FALSE)</f>
        <v>SC_05_50022E</v>
      </c>
      <c r="B280" t="s">
        <v>26</v>
      </c>
      <c r="C280">
        <f>VLOOKUP(A280,sr[],2,FALSE)</f>
        <v>2005</v>
      </c>
      <c r="D280">
        <v>3</v>
      </c>
      <c r="E280">
        <v>3</v>
      </c>
      <c r="F280" t="s">
        <v>2571</v>
      </c>
      <c r="H280" t="str" cm="1">
        <f t="array" ref="H280">_xlfn.IFS(D280=E280,"x",ISBLANK(E280),"Blank", ISBLANK(D280), "Blank",D280&lt;&gt;E280," ")</f>
        <v>x</v>
      </c>
    </row>
    <row r="281" spans="1:8" x14ac:dyDescent="0.3">
      <c r="A281" t="str">
        <f>VLOOKUP(B281,lookup[],2,FALSE)</f>
        <v>SC_05_50017E</v>
      </c>
      <c r="B281" t="s">
        <v>24</v>
      </c>
      <c r="C281">
        <f>VLOOKUP(A281,sr[],2,FALSE)</f>
        <v>2005</v>
      </c>
      <c r="D281">
        <v>3</v>
      </c>
      <c r="E281">
        <v>3</v>
      </c>
      <c r="F281" t="s">
        <v>2571</v>
      </c>
      <c r="H281" t="str" cm="1">
        <f t="array" ref="H281">_xlfn.IFS(D281=E281,"x",ISBLANK(E281),"Blank", ISBLANK(D281), "Blank",D281&lt;&gt;E281," ")</f>
        <v>x</v>
      </c>
    </row>
    <row r="282" spans="1:8" x14ac:dyDescent="0.3">
      <c r="A282" t="str">
        <f>VLOOKUP(B282,lookup[],2,FALSE)</f>
        <v>SC_05_50015E</v>
      </c>
      <c r="B282" t="s">
        <v>22</v>
      </c>
      <c r="C282">
        <f>VLOOKUP(A282,sr[],2,FALSE)</f>
        <v>2005</v>
      </c>
      <c r="D282">
        <v>4</v>
      </c>
      <c r="E282">
        <v>3</v>
      </c>
      <c r="F282" t="s">
        <v>2571</v>
      </c>
      <c r="H282" t="str" cm="1">
        <f t="array" ref="H282">_xlfn.IFS(D282=E282,"x",ISBLANK(E282),"Blank", ISBLANK(D282), "Blank",D282&lt;&gt;E282," ")</f>
        <v xml:space="preserve"> </v>
      </c>
    </row>
    <row r="283" spans="1:8" x14ac:dyDescent="0.3">
      <c r="A283" t="str">
        <f>VLOOKUP(B283,lookup[],2,FALSE)</f>
        <v>SC_05_50007E</v>
      </c>
      <c r="B283" t="s">
        <v>20</v>
      </c>
      <c r="C283">
        <f>VLOOKUP(A283,sr[],2,FALSE)</f>
        <v>2005</v>
      </c>
      <c r="D283">
        <v>3</v>
      </c>
      <c r="E283">
        <v>3</v>
      </c>
      <c r="F283" t="s">
        <v>2571</v>
      </c>
      <c r="H283" t="str" cm="1">
        <f t="array" ref="H283">_xlfn.IFS(D283=E283,"x",ISBLANK(E283),"Blank", ISBLANK(D283), "Blank",D283&lt;&gt;E283," ")</f>
        <v>x</v>
      </c>
    </row>
    <row r="284" spans="1:8" x14ac:dyDescent="0.3">
      <c r="A284" t="str">
        <f>VLOOKUP(B284,lookup[],2,FALSE)</f>
        <v>SC_06_50023E</v>
      </c>
      <c r="B284" t="s">
        <v>42</v>
      </c>
      <c r="C284">
        <f>VLOOKUP(A284,sr[],2,FALSE)</f>
        <v>2006</v>
      </c>
      <c r="D284">
        <v>2</v>
      </c>
      <c r="E284">
        <v>2</v>
      </c>
      <c r="F284" t="s">
        <v>2571</v>
      </c>
      <c r="H284" t="str" cm="1">
        <f t="array" ref="H284">_xlfn.IFS(D284=E284,"x",ISBLANK(E284),"Blank", ISBLANK(D284), "Blank",D284&lt;&gt;E284," ")</f>
        <v>x</v>
      </c>
    </row>
    <row r="285" spans="1:8" x14ac:dyDescent="0.3">
      <c r="A285" t="str">
        <f>VLOOKUP(B285,lookup[],2,FALSE)</f>
        <v>SC_05_50006E</v>
      </c>
      <c r="B285" t="s">
        <v>18</v>
      </c>
      <c r="C285" t="e">
        <f>VLOOKUP(A285,sr[],2,FALSE)</f>
        <v>#N/A</v>
      </c>
      <c r="E285">
        <v>1</v>
      </c>
      <c r="F285" t="s">
        <v>2571</v>
      </c>
      <c r="G285" t="s">
        <v>2570</v>
      </c>
      <c r="H285" t="str" cm="1">
        <f t="array" ref="H285">_xlfn.IFS(D285=E285,"x",ISBLANK(E285),"Blank", ISBLANK(D285), "Blank",D285&lt;&gt;E285," ")</f>
        <v>Blank</v>
      </c>
    </row>
    <row r="286" spans="1:8" x14ac:dyDescent="0.3">
      <c r="A286" t="str">
        <f>VLOOKUP(B286,lookup[],2,FALSE)</f>
        <v>SC_06_50020E</v>
      </c>
      <c r="B286" t="s">
        <v>40</v>
      </c>
      <c r="C286">
        <f>VLOOKUP(A286,sr[],2,FALSE)</f>
        <v>2006</v>
      </c>
      <c r="D286">
        <v>3</v>
      </c>
      <c r="E286">
        <v>3</v>
      </c>
      <c r="F286" t="s">
        <v>2571</v>
      </c>
      <c r="H286" t="str" cm="1">
        <f t="array" ref="H286">_xlfn.IFS(D286=E286,"x",ISBLANK(E286),"Blank", ISBLANK(D286), "Blank",D286&lt;&gt;E286," ")</f>
        <v>x</v>
      </c>
    </row>
    <row r="287" spans="1:8" x14ac:dyDescent="0.3">
      <c r="A287" t="str">
        <f>VLOOKUP(B287,lookup[],2,FALSE)</f>
        <v>SC_06_50019E</v>
      </c>
      <c r="B287" t="s">
        <v>38</v>
      </c>
      <c r="C287">
        <f>VLOOKUP(A287,sr[],2,FALSE)</f>
        <v>2006</v>
      </c>
      <c r="D287">
        <v>2</v>
      </c>
      <c r="E287">
        <v>3</v>
      </c>
      <c r="F287" t="s">
        <v>2571</v>
      </c>
      <c r="G287" t="s">
        <v>2558</v>
      </c>
      <c r="H287" t="str" cm="1">
        <f t="array" ref="H287">_xlfn.IFS(D287=E287,"x",ISBLANK(E287),"Blank", ISBLANK(D287), "Blank",D287&lt;&gt;E287," ")</f>
        <v xml:space="preserve"> </v>
      </c>
    </row>
    <row r="288" spans="1:8" x14ac:dyDescent="0.3">
      <c r="A288" t="str">
        <f>VLOOKUP(B288,lookup[],2,FALSE)</f>
        <v>SC_06_50018E</v>
      </c>
      <c r="B288" t="s">
        <v>36</v>
      </c>
      <c r="C288">
        <f>VLOOKUP(A288,sr[],2,FALSE)</f>
        <v>2006</v>
      </c>
      <c r="D288">
        <v>2</v>
      </c>
      <c r="E288">
        <v>2</v>
      </c>
      <c r="F288" t="s">
        <v>2571</v>
      </c>
      <c r="H288" t="str" cm="1">
        <f t="array" ref="H288">_xlfn.IFS(D288=E288,"x",ISBLANK(E288),"Blank", ISBLANK(D288), "Blank",D288&lt;&gt;E288," ")</f>
        <v>x</v>
      </c>
    </row>
    <row r="289" spans="1:8" x14ac:dyDescent="0.3">
      <c r="A289" t="str">
        <f>VLOOKUP(B289,lookup[],2,FALSE)</f>
        <v>SC_06_50017E</v>
      </c>
      <c r="B289" t="s">
        <v>34</v>
      </c>
      <c r="C289">
        <f>VLOOKUP(A289,sr[],2,FALSE)</f>
        <v>2006</v>
      </c>
      <c r="D289">
        <v>3</v>
      </c>
      <c r="E289">
        <v>3</v>
      </c>
      <c r="F289" t="s">
        <v>2571</v>
      </c>
      <c r="G289" t="s">
        <v>2558</v>
      </c>
      <c r="H289" t="str" cm="1">
        <f t="array" ref="H289">_xlfn.IFS(D289=E289,"x",ISBLANK(E289),"Blank", ISBLANK(D289), "Blank",D289&lt;&gt;E289," ")</f>
        <v>x</v>
      </c>
    </row>
    <row r="290" spans="1:8" x14ac:dyDescent="0.3">
      <c r="A290" t="str">
        <f>VLOOKUP(B290,lookup[],2,FALSE)</f>
        <v>SC_06_50015E</v>
      </c>
      <c r="B290" t="s">
        <v>30</v>
      </c>
      <c r="C290">
        <f>VLOOKUP(A290,sr[],2,FALSE)</f>
        <v>2006</v>
      </c>
      <c r="D290">
        <v>3</v>
      </c>
      <c r="E290">
        <v>3</v>
      </c>
      <c r="F290" t="s">
        <v>2571</v>
      </c>
      <c r="H290" t="str" cm="1">
        <f t="array" ref="H290">_xlfn.IFS(D290=E290,"x",ISBLANK(E290),"Blank", ISBLANK(D290), "Blank",D290&lt;&gt;E290," ")</f>
        <v>x</v>
      </c>
    </row>
    <row r="291" spans="1:8" x14ac:dyDescent="0.3">
      <c r="A291" t="str">
        <f>VLOOKUP(B291,lookup[],2,FALSE)</f>
        <v>SC_06_50016E</v>
      </c>
      <c r="B291" t="s">
        <v>32</v>
      </c>
      <c r="C291">
        <f>VLOOKUP(A291,sr[],2,FALSE)</f>
        <v>2006</v>
      </c>
      <c r="E291">
        <v>2</v>
      </c>
      <c r="F291" t="s">
        <v>2571</v>
      </c>
      <c r="G291" t="s">
        <v>17</v>
      </c>
      <c r="H291" t="str" cm="1">
        <f t="array" ref="H291">_xlfn.IFS(D291=E291,"x",ISBLANK(E291),"Blank", ISBLANK(D291), "Blank",D291&lt;&gt;E291," ")</f>
        <v>Blank</v>
      </c>
    </row>
    <row r="292" spans="1:8" x14ac:dyDescent="0.3">
      <c r="A292" t="str">
        <f>VLOOKUP(B292,lookup[],2,FALSE)</f>
        <v>SC_06_50012E</v>
      </c>
      <c r="B292" t="s">
        <v>28</v>
      </c>
      <c r="C292">
        <f>VLOOKUP(A292,sr[],2,FALSE)</f>
        <v>2006</v>
      </c>
      <c r="E292">
        <v>3</v>
      </c>
      <c r="F292" t="s">
        <v>2571</v>
      </c>
      <c r="G292" t="s">
        <v>17</v>
      </c>
      <c r="H292" t="str" cm="1">
        <f t="array" ref="H292">_xlfn.IFS(D292=E292,"x",ISBLANK(E292),"Blank", ISBLANK(D292), "Blank",D292&lt;&gt;E292," ")</f>
        <v>Blank</v>
      </c>
    </row>
    <row r="293" spans="1:8" x14ac:dyDescent="0.3">
      <c r="A293" t="str">
        <f>VLOOKUP(B293,lookup[],2,FALSE)</f>
        <v>SC_06_50024E</v>
      </c>
      <c r="B293" t="s">
        <v>44</v>
      </c>
      <c r="C293">
        <f>VLOOKUP(A293,sr[],2,FALSE)</f>
        <v>2006</v>
      </c>
      <c r="D293">
        <v>3</v>
      </c>
      <c r="E293">
        <v>3</v>
      </c>
      <c r="F293" t="s">
        <v>2571</v>
      </c>
      <c r="H293" t="str" cm="1">
        <f t="array" ref="H293">_xlfn.IFS(D293=E293,"x",ISBLANK(E293),"Blank", ISBLANK(D293), "Blank",D293&lt;&gt;E293," ")</f>
        <v>x</v>
      </c>
    </row>
    <row r="294" spans="1:8" x14ac:dyDescent="0.3">
      <c r="A294" t="str">
        <f>VLOOKUP(B294,lookup[],2,FALSE)</f>
        <v>SC_06_50025E</v>
      </c>
      <c r="B294" t="s">
        <v>46</v>
      </c>
      <c r="C294">
        <f>VLOOKUP(A294,sr[],2,FALSE)</f>
        <v>2006</v>
      </c>
      <c r="D294">
        <v>3</v>
      </c>
      <c r="E294">
        <v>2</v>
      </c>
      <c r="F294" t="s">
        <v>2571</v>
      </c>
      <c r="G294" t="s">
        <v>2558</v>
      </c>
      <c r="H294" t="str" cm="1">
        <f t="array" ref="H294">_xlfn.IFS(D294=E294,"x",ISBLANK(E294),"Blank", ISBLANK(D294), "Blank",D294&lt;&gt;E294," ")</f>
        <v xml:space="preserve"> </v>
      </c>
    </row>
    <row r="295" spans="1:8" x14ac:dyDescent="0.3">
      <c r="A295" t="str">
        <f>VLOOKUP(B295,lookup[],2,FALSE)</f>
        <v>SC_06_50026E</v>
      </c>
      <c r="B295" t="s">
        <v>48</v>
      </c>
      <c r="C295">
        <f>VLOOKUP(A295,sr[],2,FALSE)</f>
        <v>2006</v>
      </c>
      <c r="D295">
        <v>4</v>
      </c>
      <c r="E295">
        <v>3</v>
      </c>
      <c r="F295" t="s">
        <v>2571</v>
      </c>
      <c r="H295" t="str" cm="1">
        <f t="array" ref="H295">_xlfn.IFS(D295=E295,"x",ISBLANK(E295),"Blank", ISBLANK(D295), "Blank",D295&lt;&gt;E295," ")</f>
        <v xml:space="preserve"> </v>
      </c>
    </row>
    <row r="296" spans="1:8" x14ac:dyDescent="0.3">
      <c r="A296" t="str">
        <f>VLOOKUP(B296,lookup[],2,FALSE)</f>
        <v>SC_06_50027E</v>
      </c>
      <c r="B296" t="s">
        <v>50</v>
      </c>
      <c r="C296">
        <f>VLOOKUP(A296,sr[],2,FALSE)</f>
        <v>2006</v>
      </c>
      <c r="D296">
        <v>3</v>
      </c>
      <c r="E296">
        <v>3</v>
      </c>
      <c r="F296" t="s">
        <v>2571</v>
      </c>
      <c r="H296" t="str" cm="1">
        <f t="array" ref="H296">_xlfn.IFS(D296=E296,"x",ISBLANK(E296),"Blank", ISBLANK(D296), "Blank",D296&lt;&gt;E296," ")</f>
        <v>x</v>
      </c>
    </row>
    <row r="297" spans="1:8" x14ac:dyDescent="0.3">
      <c r="A297" t="str">
        <f>VLOOKUP(B297,lookup[],2,FALSE)</f>
        <v>SC_06_50028E</v>
      </c>
      <c r="B297" t="s">
        <v>52</v>
      </c>
      <c r="C297">
        <f>VLOOKUP(A297,sr[],2,FALSE)</f>
        <v>2006</v>
      </c>
      <c r="D297">
        <v>3</v>
      </c>
      <c r="E297">
        <v>3</v>
      </c>
      <c r="F297" t="s">
        <v>2571</v>
      </c>
      <c r="H297" t="str" cm="1">
        <f t="array" ref="H297">_xlfn.IFS(D297=E297,"x",ISBLANK(E297),"Blank", ISBLANK(D297), "Blank",D297&lt;&gt;E297," ")</f>
        <v>x</v>
      </c>
    </row>
    <row r="298" spans="1:8" x14ac:dyDescent="0.3">
      <c r="A298" t="str">
        <f>VLOOKUP(B298,lookup[],2,FALSE)</f>
        <v>SC_06_50029E</v>
      </c>
      <c r="B298" t="s">
        <v>54</v>
      </c>
      <c r="C298">
        <f>VLOOKUP(A298,sr[],2,FALSE)</f>
        <v>2006</v>
      </c>
      <c r="D298">
        <v>3</v>
      </c>
      <c r="E298">
        <v>4</v>
      </c>
      <c r="F298" t="s">
        <v>2571</v>
      </c>
      <c r="H298" t="str" cm="1">
        <f t="array" ref="H298">_xlfn.IFS(D298=E298,"x",ISBLANK(E298),"Blank", ISBLANK(D298), "Blank",D298&lt;&gt;E298," ")</f>
        <v xml:space="preserve"> </v>
      </c>
    </row>
    <row r="299" spans="1:8" x14ac:dyDescent="0.3">
      <c r="A299" t="str">
        <f>VLOOKUP(B299,lookup[],2,FALSE)</f>
        <v>SC_06_50030E</v>
      </c>
      <c r="B299" t="s">
        <v>56</v>
      </c>
      <c r="C299">
        <f>VLOOKUP(A299,sr[],2,FALSE)</f>
        <v>2006</v>
      </c>
      <c r="D299">
        <v>3</v>
      </c>
      <c r="E299">
        <v>2</v>
      </c>
      <c r="F299" t="s">
        <v>2571</v>
      </c>
      <c r="H299" t="str" cm="1">
        <f t="array" ref="H299">_xlfn.IFS(D299=E299,"x",ISBLANK(E299),"Blank", ISBLANK(D299), "Blank",D299&lt;&gt;E299," ")</f>
        <v xml:space="preserve"> </v>
      </c>
    </row>
    <row r="300" spans="1:8" x14ac:dyDescent="0.3">
      <c r="A300" t="str">
        <f>VLOOKUP(B300,lookup[],2,FALSE)</f>
        <v>SC_06_50031E</v>
      </c>
      <c r="B300" t="s">
        <v>58</v>
      </c>
      <c r="C300">
        <f>VLOOKUP(A300,sr[],2,FALSE)</f>
        <v>2006</v>
      </c>
      <c r="D300">
        <v>3</v>
      </c>
      <c r="E300">
        <v>3</v>
      </c>
      <c r="F300" t="s">
        <v>2571</v>
      </c>
      <c r="H300" t="str" cm="1">
        <f t="array" ref="H300">_xlfn.IFS(D300=E300,"x",ISBLANK(E300),"Blank", ISBLANK(D300), "Blank",D300&lt;&gt;E300," ")</f>
        <v>x</v>
      </c>
    </row>
    <row r="301" spans="1:8" x14ac:dyDescent="0.3">
      <c r="A301" t="str">
        <f>VLOOKUP(B301,lookup[],2,FALSE)</f>
        <v>SC_06_50032E</v>
      </c>
      <c r="B301" t="s">
        <v>60</v>
      </c>
      <c r="C301">
        <f>VLOOKUP(A301,sr[],2,FALSE)</f>
        <v>2006</v>
      </c>
      <c r="D301">
        <v>2</v>
      </c>
      <c r="E301">
        <v>2</v>
      </c>
      <c r="F301" t="s">
        <v>2571</v>
      </c>
      <c r="H301" t="str" cm="1">
        <f t="array" ref="H301">_xlfn.IFS(D301=E301,"x",ISBLANK(E301),"Blank", ISBLANK(D301), "Blank",D301&lt;&gt;E301," ")</f>
        <v>x</v>
      </c>
    </row>
    <row r="302" spans="1:8" x14ac:dyDescent="0.3">
      <c r="A302" t="str">
        <f>VLOOKUP(B302,lookup[],2,FALSE)</f>
        <v>SC_06_50033E</v>
      </c>
      <c r="B302" t="s">
        <v>62</v>
      </c>
      <c r="C302">
        <f>VLOOKUP(A302,sr[],2,FALSE)</f>
        <v>2006</v>
      </c>
      <c r="D302">
        <v>2</v>
      </c>
      <c r="E302">
        <v>3</v>
      </c>
      <c r="F302" t="s">
        <v>2571</v>
      </c>
      <c r="H302" t="str" cm="1">
        <f t="array" ref="H302">_xlfn.IFS(D302=E302,"x",ISBLANK(E302),"Blank", ISBLANK(D302), "Blank",D302&lt;&gt;E302," ")</f>
        <v xml:space="preserve"> </v>
      </c>
    </row>
    <row r="303" spans="1:8" x14ac:dyDescent="0.3">
      <c r="A303" t="str">
        <f>VLOOKUP(B303,lookup[],2,FALSE)</f>
        <v>SC_06_50034E</v>
      </c>
      <c r="B303" t="s">
        <v>64</v>
      </c>
      <c r="C303">
        <f>VLOOKUP(A303,sr[],2,FALSE)</f>
        <v>2006</v>
      </c>
      <c r="D303">
        <v>3</v>
      </c>
      <c r="E303">
        <v>3</v>
      </c>
      <c r="F303" t="s">
        <v>2571</v>
      </c>
      <c r="H303" t="str" cm="1">
        <f t="array" ref="H303">_xlfn.IFS(D303=E303,"x",ISBLANK(E303),"Blank", ISBLANK(D303), "Blank",D303&lt;&gt;E303," ")</f>
        <v>x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4851-A066-4BD1-B188-2E1209E4C298}">
  <dimension ref="A1:G58"/>
  <sheetViews>
    <sheetView topLeftCell="A34" workbookViewId="0">
      <selection activeCell="D57" sqref="D57"/>
    </sheetView>
  </sheetViews>
  <sheetFormatPr defaultRowHeight="14.4" x14ac:dyDescent="0.3"/>
  <cols>
    <col min="1" max="1" width="12.88671875" bestFit="1" customWidth="1"/>
  </cols>
  <sheetData>
    <row r="1" spans="1:7" x14ac:dyDescent="0.3">
      <c r="A1" t="s">
        <v>6</v>
      </c>
      <c r="B1" t="s">
        <v>7</v>
      </c>
      <c r="C1" t="s">
        <v>8</v>
      </c>
      <c r="D1" t="s">
        <v>2596</v>
      </c>
      <c r="F1" t="s">
        <v>2595</v>
      </c>
      <c r="G1" t="s">
        <v>9</v>
      </c>
    </row>
    <row r="2" spans="1:7" x14ac:dyDescent="0.3">
      <c r="A2" t="s">
        <v>71</v>
      </c>
      <c r="B2" t="s">
        <v>5</v>
      </c>
      <c r="C2">
        <v>3</v>
      </c>
      <c r="D2">
        <v>3</v>
      </c>
      <c r="E2" t="s">
        <v>2571</v>
      </c>
      <c r="F2" t="s">
        <v>2582</v>
      </c>
    </row>
    <row r="3" spans="1:7" x14ac:dyDescent="0.3">
      <c r="A3" t="s">
        <v>74</v>
      </c>
      <c r="B3" t="s">
        <v>13</v>
      </c>
      <c r="C3">
        <v>4</v>
      </c>
      <c r="D3">
        <v>4</v>
      </c>
      <c r="E3" t="s">
        <v>2571</v>
      </c>
      <c r="F3" t="s">
        <v>2582</v>
      </c>
    </row>
    <row r="4" spans="1:7" x14ac:dyDescent="0.3">
      <c r="A4" t="s">
        <v>75</v>
      </c>
      <c r="B4" t="s">
        <v>14</v>
      </c>
      <c r="C4">
        <v>3</v>
      </c>
      <c r="D4">
        <v>3</v>
      </c>
      <c r="E4" t="s">
        <v>2571</v>
      </c>
      <c r="F4" t="s">
        <v>2582</v>
      </c>
    </row>
    <row r="5" spans="1:7" x14ac:dyDescent="0.3">
      <c r="A5" t="s">
        <v>77</v>
      </c>
      <c r="B5" t="s">
        <v>16</v>
      </c>
      <c r="C5">
        <v>3</v>
      </c>
      <c r="D5">
        <v>3</v>
      </c>
      <c r="E5" t="s">
        <v>2571</v>
      </c>
      <c r="F5" t="s">
        <v>2582</v>
      </c>
    </row>
    <row r="6" spans="1:7" x14ac:dyDescent="0.3">
      <c r="A6" t="s">
        <v>83</v>
      </c>
      <c r="B6" t="s">
        <v>82</v>
      </c>
      <c r="C6">
        <v>3</v>
      </c>
      <c r="D6">
        <v>3</v>
      </c>
      <c r="E6" t="s">
        <v>2571</v>
      </c>
      <c r="F6" t="s">
        <v>2582</v>
      </c>
    </row>
    <row r="7" spans="1:7" x14ac:dyDescent="0.3">
      <c r="A7" t="s">
        <v>85</v>
      </c>
      <c r="B7" t="s">
        <v>84</v>
      </c>
      <c r="C7">
        <v>3</v>
      </c>
      <c r="D7">
        <v>3</v>
      </c>
      <c r="E7" t="s">
        <v>2571</v>
      </c>
      <c r="F7" t="s">
        <v>2582</v>
      </c>
    </row>
    <row r="8" spans="1:7" x14ac:dyDescent="0.3">
      <c r="A8" t="s">
        <v>97</v>
      </c>
      <c r="B8" t="s">
        <v>96</v>
      </c>
      <c r="C8">
        <v>3</v>
      </c>
      <c r="D8">
        <v>3</v>
      </c>
      <c r="E8" t="s">
        <v>2571</v>
      </c>
      <c r="F8" t="s">
        <v>2582</v>
      </c>
    </row>
    <row r="9" spans="1:7" x14ac:dyDescent="0.3">
      <c r="A9" t="s">
        <v>105</v>
      </c>
      <c r="B9" t="s">
        <v>104</v>
      </c>
      <c r="C9">
        <v>3</v>
      </c>
      <c r="D9">
        <v>3</v>
      </c>
      <c r="E9" t="s">
        <v>2571</v>
      </c>
      <c r="F9" t="s">
        <v>2582</v>
      </c>
    </row>
    <row r="10" spans="1:7" x14ac:dyDescent="0.3">
      <c r="A10" t="s">
        <v>107</v>
      </c>
      <c r="B10" t="s">
        <v>106</v>
      </c>
      <c r="C10">
        <v>3</v>
      </c>
      <c r="D10">
        <v>3</v>
      </c>
      <c r="E10" t="s">
        <v>2571</v>
      </c>
      <c r="F10" t="s">
        <v>2582</v>
      </c>
    </row>
    <row r="11" spans="1:7" x14ac:dyDescent="0.3">
      <c r="A11" t="s">
        <v>115</v>
      </c>
      <c r="B11" t="s">
        <v>114</v>
      </c>
      <c r="C11">
        <v>2</v>
      </c>
      <c r="D11">
        <v>2</v>
      </c>
      <c r="E11" t="s">
        <v>2571</v>
      </c>
      <c r="F11" t="s">
        <v>2582</v>
      </c>
    </row>
    <row r="12" spans="1:7" x14ac:dyDescent="0.3">
      <c r="A12" t="s">
        <v>129</v>
      </c>
      <c r="B12" t="s">
        <v>128</v>
      </c>
      <c r="C12">
        <v>3</v>
      </c>
      <c r="D12">
        <v>3</v>
      </c>
      <c r="E12" t="s">
        <v>2571</v>
      </c>
      <c r="F12" t="s">
        <v>2582</v>
      </c>
    </row>
    <row r="13" spans="1:7" x14ac:dyDescent="0.3">
      <c r="A13" t="s">
        <v>131</v>
      </c>
      <c r="B13" t="s">
        <v>130</v>
      </c>
      <c r="C13">
        <v>3</v>
      </c>
      <c r="D13">
        <v>3</v>
      </c>
      <c r="E13" t="s">
        <v>2571</v>
      </c>
      <c r="F13" t="s">
        <v>2582</v>
      </c>
    </row>
    <row r="14" spans="1:7" x14ac:dyDescent="0.3">
      <c r="A14" t="s">
        <v>135</v>
      </c>
      <c r="B14" t="s">
        <v>134</v>
      </c>
      <c r="C14">
        <v>2</v>
      </c>
      <c r="D14">
        <v>2</v>
      </c>
      <c r="E14" t="s">
        <v>2571</v>
      </c>
      <c r="F14" t="s">
        <v>2582</v>
      </c>
    </row>
    <row r="15" spans="1:7" x14ac:dyDescent="0.3">
      <c r="A15" t="s">
        <v>137</v>
      </c>
      <c r="B15" t="s">
        <v>136</v>
      </c>
      <c r="C15">
        <v>3</v>
      </c>
      <c r="D15">
        <v>3</v>
      </c>
      <c r="E15" t="s">
        <v>2571</v>
      </c>
      <c r="F15" t="s">
        <v>2582</v>
      </c>
      <c r="G15" t="s">
        <v>2560</v>
      </c>
    </row>
    <row r="16" spans="1:7" x14ac:dyDescent="0.3">
      <c r="A16" t="s">
        <v>143</v>
      </c>
      <c r="B16" t="s">
        <v>142</v>
      </c>
      <c r="C16">
        <v>2</v>
      </c>
      <c r="D16">
        <v>2</v>
      </c>
      <c r="E16" t="s">
        <v>2571</v>
      </c>
      <c r="F16" t="s">
        <v>2582</v>
      </c>
    </row>
    <row r="17" spans="1:7" x14ac:dyDescent="0.3">
      <c r="A17" t="s">
        <v>153</v>
      </c>
      <c r="B17" t="s">
        <v>152</v>
      </c>
      <c r="C17">
        <v>3</v>
      </c>
      <c r="D17">
        <v>3</v>
      </c>
      <c r="E17" t="s">
        <v>2571</v>
      </c>
      <c r="F17" t="s">
        <v>2582</v>
      </c>
    </row>
    <row r="18" spans="1:7" x14ac:dyDescent="0.3">
      <c r="A18" t="s">
        <v>163</v>
      </c>
      <c r="B18" t="s">
        <v>162</v>
      </c>
      <c r="C18">
        <v>3</v>
      </c>
      <c r="D18">
        <v>3</v>
      </c>
      <c r="E18" t="s">
        <v>2572</v>
      </c>
      <c r="F18" t="s">
        <v>2582</v>
      </c>
    </row>
    <row r="19" spans="1:7" x14ac:dyDescent="0.3">
      <c r="A19" t="s">
        <v>171</v>
      </c>
      <c r="B19" t="s">
        <v>170</v>
      </c>
      <c r="C19">
        <v>4</v>
      </c>
      <c r="D19">
        <v>4</v>
      </c>
      <c r="E19" t="s">
        <v>2572</v>
      </c>
      <c r="F19" t="s">
        <v>2582</v>
      </c>
    </row>
    <row r="20" spans="1:7" x14ac:dyDescent="0.3">
      <c r="A20" t="s">
        <v>307</v>
      </c>
      <c r="B20" t="s">
        <v>306</v>
      </c>
      <c r="C20">
        <v>4</v>
      </c>
      <c r="D20">
        <v>4</v>
      </c>
      <c r="E20" t="s">
        <v>2572</v>
      </c>
      <c r="F20" t="s">
        <v>2582</v>
      </c>
    </row>
    <row r="21" spans="1:7" x14ac:dyDescent="0.3">
      <c r="A21" t="s">
        <v>1023</v>
      </c>
      <c r="B21" t="s">
        <v>1022</v>
      </c>
      <c r="C21">
        <v>3</v>
      </c>
      <c r="D21">
        <v>3</v>
      </c>
      <c r="E21" t="s">
        <v>2572</v>
      </c>
      <c r="F21" t="s">
        <v>2582</v>
      </c>
    </row>
    <row r="22" spans="1:7" x14ac:dyDescent="0.3">
      <c r="A22" t="s">
        <v>1043</v>
      </c>
      <c r="B22" t="s">
        <v>1042</v>
      </c>
      <c r="C22">
        <v>3</v>
      </c>
      <c r="D22">
        <v>3</v>
      </c>
      <c r="E22" t="s">
        <v>2572</v>
      </c>
      <c r="F22" t="s">
        <v>2582</v>
      </c>
    </row>
    <row r="23" spans="1:7" x14ac:dyDescent="0.3">
      <c r="A23" t="s">
        <v>1051</v>
      </c>
      <c r="B23" t="s">
        <v>1050</v>
      </c>
      <c r="C23">
        <v>2</v>
      </c>
      <c r="D23">
        <v>2</v>
      </c>
      <c r="E23" t="s">
        <v>2572</v>
      </c>
      <c r="F23" t="s">
        <v>2582</v>
      </c>
    </row>
    <row r="24" spans="1:7" x14ac:dyDescent="0.3">
      <c r="A24" t="s">
        <v>1067</v>
      </c>
      <c r="B24" t="s">
        <v>1066</v>
      </c>
      <c r="C24">
        <v>3</v>
      </c>
      <c r="D24">
        <v>3</v>
      </c>
      <c r="E24" t="s">
        <v>2572</v>
      </c>
      <c r="F24" t="s">
        <v>2582</v>
      </c>
    </row>
    <row r="25" spans="1:7" x14ac:dyDescent="0.3">
      <c r="A25" t="s">
        <v>1075</v>
      </c>
      <c r="B25" t="s">
        <v>1074</v>
      </c>
      <c r="C25">
        <v>3</v>
      </c>
      <c r="D25">
        <v>3</v>
      </c>
      <c r="E25" t="s">
        <v>2572</v>
      </c>
      <c r="F25" t="s">
        <v>2582</v>
      </c>
      <c r="G25" t="s">
        <v>2560</v>
      </c>
    </row>
    <row r="26" spans="1:7" x14ac:dyDescent="0.3">
      <c r="A26" t="s">
        <v>1079</v>
      </c>
      <c r="B26" t="s">
        <v>1078</v>
      </c>
      <c r="C26">
        <v>3</v>
      </c>
      <c r="D26">
        <v>3</v>
      </c>
      <c r="E26" t="s">
        <v>2572</v>
      </c>
      <c r="F26" t="s">
        <v>2582</v>
      </c>
      <c r="G26" t="s">
        <v>2560</v>
      </c>
    </row>
    <row r="27" spans="1:7" x14ac:dyDescent="0.3">
      <c r="A27" t="s">
        <v>1083</v>
      </c>
      <c r="B27" t="s">
        <v>1082</v>
      </c>
      <c r="C27">
        <v>3</v>
      </c>
      <c r="D27">
        <v>3</v>
      </c>
      <c r="E27" t="s">
        <v>2572</v>
      </c>
      <c r="F27" t="s">
        <v>2582</v>
      </c>
    </row>
    <row r="28" spans="1:7" x14ac:dyDescent="0.3">
      <c r="A28" t="s">
        <v>1107</v>
      </c>
      <c r="B28" t="s">
        <v>1106</v>
      </c>
      <c r="C28">
        <v>3</v>
      </c>
      <c r="D28">
        <v>3</v>
      </c>
      <c r="E28" t="s">
        <v>2572</v>
      </c>
      <c r="F28" t="s">
        <v>2582</v>
      </c>
    </row>
    <row r="29" spans="1:7" x14ac:dyDescent="0.3">
      <c r="A29" t="s">
        <v>1111</v>
      </c>
      <c r="B29" t="s">
        <v>1110</v>
      </c>
      <c r="C29">
        <v>3</v>
      </c>
      <c r="D29">
        <v>3</v>
      </c>
      <c r="E29" t="s">
        <v>2572</v>
      </c>
      <c r="F29" t="s">
        <v>2582</v>
      </c>
    </row>
    <row r="30" spans="1:7" x14ac:dyDescent="0.3">
      <c r="A30" t="s">
        <v>1115</v>
      </c>
      <c r="B30" t="s">
        <v>1114</v>
      </c>
      <c r="C30">
        <v>3</v>
      </c>
      <c r="D30">
        <v>3</v>
      </c>
      <c r="E30" t="s">
        <v>2572</v>
      </c>
      <c r="F30" t="s">
        <v>2582</v>
      </c>
    </row>
    <row r="31" spans="1:7" x14ac:dyDescent="0.3">
      <c r="A31" t="s">
        <v>1129</v>
      </c>
      <c r="B31" t="s">
        <v>1128</v>
      </c>
      <c r="C31">
        <v>3</v>
      </c>
      <c r="D31">
        <v>3</v>
      </c>
      <c r="E31" t="s">
        <v>2572</v>
      </c>
      <c r="F31" t="s">
        <v>2582</v>
      </c>
    </row>
    <row r="32" spans="1:7" x14ac:dyDescent="0.3">
      <c r="A32" t="s">
        <v>1279</v>
      </c>
      <c r="B32" t="s">
        <v>1278</v>
      </c>
      <c r="C32">
        <v>3</v>
      </c>
      <c r="D32">
        <v>3</v>
      </c>
      <c r="E32" t="s">
        <v>2572</v>
      </c>
      <c r="F32" t="s">
        <v>2582</v>
      </c>
    </row>
    <row r="33" spans="1:7" x14ac:dyDescent="0.3">
      <c r="A33" t="s">
        <v>1183</v>
      </c>
      <c r="B33" t="s">
        <v>1182</v>
      </c>
      <c r="C33">
        <v>3</v>
      </c>
      <c r="D33">
        <v>3</v>
      </c>
      <c r="E33" t="s">
        <v>2572</v>
      </c>
      <c r="F33" t="s">
        <v>2582</v>
      </c>
    </row>
    <row r="34" spans="1:7" x14ac:dyDescent="0.3">
      <c r="A34" t="s">
        <v>1193</v>
      </c>
      <c r="B34" t="s">
        <v>1192</v>
      </c>
      <c r="C34">
        <v>3</v>
      </c>
      <c r="D34">
        <v>3</v>
      </c>
      <c r="F34" t="s">
        <v>2582</v>
      </c>
    </row>
    <row r="35" spans="1:7" x14ac:dyDescent="0.3">
      <c r="A35" t="s">
        <v>1161</v>
      </c>
      <c r="B35" t="s">
        <v>1160</v>
      </c>
      <c r="C35">
        <v>3</v>
      </c>
      <c r="D35">
        <v>3</v>
      </c>
      <c r="E35" t="s">
        <v>2572</v>
      </c>
      <c r="F35" t="s">
        <v>2582</v>
      </c>
    </row>
    <row r="36" spans="1:7" x14ac:dyDescent="0.3">
      <c r="A36" t="s">
        <v>1167</v>
      </c>
      <c r="B36" t="s">
        <v>1166</v>
      </c>
      <c r="C36">
        <v>3</v>
      </c>
      <c r="D36">
        <v>3</v>
      </c>
      <c r="E36" t="s">
        <v>2572</v>
      </c>
      <c r="F36" t="s">
        <v>2582</v>
      </c>
    </row>
    <row r="37" spans="1:7" x14ac:dyDescent="0.3">
      <c r="A37" t="s">
        <v>1171</v>
      </c>
      <c r="B37" t="s">
        <v>1170</v>
      </c>
      <c r="C37">
        <v>3</v>
      </c>
      <c r="D37">
        <v>3</v>
      </c>
      <c r="E37" t="s">
        <v>2572</v>
      </c>
      <c r="F37" t="s">
        <v>2582</v>
      </c>
    </row>
    <row r="38" spans="1:7" x14ac:dyDescent="0.3">
      <c r="A38" t="s">
        <v>1177</v>
      </c>
      <c r="B38" t="s">
        <v>1176</v>
      </c>
      <c r="C38">
        <v>3</v>
      </c>
      <c r="D38">
        <v>3</v>
      </c>
      <c r="E38" t="s">
        <v>2572</v>
      </c>
      <c r="F38" t="s">
        <v>2582</v>
      </c>
    </row>
    <row r="39" spans="1:7" x14ac:dyDescent="0.3">
      <c r="A39" t="s">
        <v>705</v>
      </c>
      <c r="B39" t="s">
        <v>704</v>
      </c>
      <c r="C39">
        <v>4</v>
      </c>
      <c r="D39">
        <v>4</v>
      </c>
      <c r="E39" t="s">
        <v>2572</v>
      </c>
      <c r="F39" t="s">
        <v>2582</v>
      </c>
    </row>
    <row r="40" spans="1:7" x14ac:dyDescent="0.3">
      <c r="A40" t="s">
        <v>317</v>
      </c>
      <c r="B40" t="s">
        <v>316</v>
      </c>
      <c r="C40">
        <v>3</v>
      </c>
      <c r="D40">
        <v>3</v>
      </c>
      <c r="E40" t="s">
        <v>2572</v>
      </c>
      <c r="F40" t="s">
        <v>2582</v>
      </c>
    </row>
    <row r="41" spans="1:7" x14ac:dyDescent="0.3">
      <c r="A41" t="s">
        <v>209</v>
      </c>
      <c r="B41" t="s">
        <v>208</v>
      </c>
      <c r="C41">
        <v>3</v>
      </c>
      <c r="D41">
        <v>3</v>
      </c>
      <c r="E41" t="s">
        <v>2572</v>
      </c>
      <c r="F41" t="s">
        <v>2582</v>
      </c>
    </row>
    <row r="42" spans="1:7" x14ac:dyDescent="0.3">
      <c r="A42" t="s">
        <v>701</v>
      </c>
      <c r="B42" t="s">
        <v>700</v>
      </c>
      <c r="C42">
        <v>3</v>
      </c>
      <c r="D42">
        <v>3</v>
      </c>
      <c r="E42" t="s">
        <v>2572</v>
      </c>
      <c r="F42" t="s">
        <v>2582</v>
      </c>
    </row>
    <row r="43" spans="1:7" x14ac:dyDescent="0.3">
      <c r="A43" t="s">
        <v>165</v>
      </c>
      <c r="B43" t="s">
        <v>164</v>
      </c>
      <c r="C43">
        <v>3</v>
      </c>
      <c r="D43">
        <v>3</v>
      </c>
      <c r="E43" t="s">
        <v>2572</v>
      </c>
      <c r="F43" t="s">
        <v>2582</v>
      </c>
    </row>
    <row r="44" spans="1:7" x14ac:dyDescent="0.3">
      <c r="A44" t="s">
        <v>183</v>
      </c>
      <c r="B44" t="s">
        <v>182</v>
      </c>
      <c r="C44">
        <v>3</v>
      </c>
      <c r="D44">
        <v>3</v>
      </c>
      <c r="E44" t="s">
        <v>2572</v>
      </c>
      <c r="F44" t="s">
        <v>2582</v>
      </c>
      <c r="G44" t="s">
        <v>2560</v>
      </c>
    </row>
    <row r="45" spans="1:7" x14ac:dyDescent="0.3">
      <c r="A45" t="s">
        <v>1239</v>
      </c>
      <c r="B45" t="s">
        <v>1238</v>
      </c>
      <c r="C45">
        <v>4</v>
      </c>
      <c r="D45">
        <v>4</v>
      </c>
      <c r="E45" t="s">
        <v>2571</v>
      </c>
      <c r="F45" t="s">
        <v>2582</v>
      </c>
    </row>
    <row r="46" spans="1:7" x14ac:dyDescent="0.3">
      <c r="A46" t="s">
        <v>1249</v>
      </c>
      <c r="B46" t="s">
        <v>1248</v>
      </c>
      <c r="C46">
        <v>3</v>
      </c>
      <c r="D46">
        <v>3</v>
      </c>
      <c r="E46" t="s">
        <v>2571</v>
      </c>
      <c r="F46" t="s">
        <v>2582</v>
      </c>
    </row>
    <row r="47" spans="1:7" x14ac:dyDescent="0.3">
      <c r="A47" t="s">
        <v>1251</v>
      </c>
      <c r="B47" t="s">
        <v>1250</v>
      </c>
      <c r="C47">
        <v>3</v>
      </c>
      <c r="D47">
        <v>3</v>
      </c>
      <c r="E47" t="s">
        <v>2571</v>
      </c>
      <c r="F47" t="s">
        <v>2582</v>
      </c>
    </row>
    <row r="48" spans="1:7" x14ac:dyDescent="0.3">
      <c r="A48" t="s">
        <v>1255</v>
      </c>
      <c r="B48" t="s">
        <v>1254</v>
      </c>
      <c r="C48">
        <v>4</v>
      </c>
      <c r="D48">
        <v>4</v>
      </c>
      <c r="E48" t="s">
        <v>2571</v>
      </c>
      <c r="F48" t="s">
        <v>2582</v>
      </c>
    </row>
    <row r="49" spans="1:6" x14ac:dyDescent="0.3">
      <c r="A49" t="s">
        <v>1259</v>
      </c>
      <c r="B49" t="s">
        <v>1258</v>
      </c>
      <c r="C49">
        <v>3</v>
      </c>
      <c r="D49">
        <v>3</v>
      </c>
      <c r="E49" t="s">
        <v>2571</v>
      </c>
      <c r="F49" t="s">
        <v>2582</v>
      </c>
    </row>
    <row r="50" spans="1:6" x14ac:dyDescent="0.3">
      <c r="A50" t="s">
        <v>1269</v>
      </c>
      <c r="B50" t="s">
        <v>1268</v>
      </c>
      <c r="C50">
        <v>4</v>
      </c>
      <c r="D50">
        <v>4</v>
      </c>
      <c r="E50" t="s">
        <v>2571</v>
      </c>
      <c r="F50" t="s">
        <v>2582</v>
      </c>
    </row>
    <row r="51" spans="1:6" x14ac:dyDescent="0.3">
      <c r="A51" t="s">
        <v>25</v>
      </c>
      <c r="B51" t="s">
        <v>24</v>
      </c>
      <c r="C51">
        <v>3</v>
      </c>
      <c r="D51">
        <v>3</v>
      </c>
      <c r="E51" t="s">
        <v>2571</v>
      </c>
      <c r="F51" t="s">
        <v>2582</v>
      </c>
    </row>
    <row r="52" spans="1:6" x14ac:dyDescent="0.3">
      <c r="A52" t="s">
        <v>43</v>
      </c>
      <c r="B52" t="s">
        <v>42</v>
      </c>
      <c r="C52">
        <v>2</v>
      </c>
      <c r="D52">
        <v>2</v>
      </c>
      <c r="E52" t="s">
        <v>2571</v>
      </c>
      <c r="F52" t="s">
        <v>2582</v>
      </c>
    </row>
    <row r="53" spans="1:6" x14ac:dyDescent="0.3">
      <c r="A53" t="s">
        <v>31</v>
      </c>
      <c r="B53" t="s">
        <v>30</v>
      </c>
      <c r="C53">
        <v>3</v>
      </c>
      <c r="D53">
        <v>3</v>
      </c>
      <c r="E53" t="s">
        <v>2571</v>
      </c>
      <c r="F53" t="s">
        <v>2582</v>
      </c>
    </row>
    <row r="54" spans="1:6" x14ac:dyDescent="0.3">
      <c r="A54" t="s">
        <v>59</v>
      </c>
      <c r="B54" t="s">
        <v>58</v>
      </c>
      <c r="C54">
        <v>3</v>
      </c>
      <c r="D54">
        <v>3</v>
      </c>
      <c r="E54" t="s">
        <v>2571</v>
      </c>
      <c r="F54" t="s">
        <v>2582</v>
      </c>
    </row>
    <row r="56" spans="1:6" x14ac:dyDescent="0.3">
      <c r="C56">
        <v>2</v>
      </c>
      <c r="D56">
        <f>COUNTIF(D$2:D$54,2)</f>
        <v>5</v>
      </c>
      <c r="E56">
        <f>D56/53</f>
        <v>9.4339622641509441E-2</v>
      </c>
    </row>
    <row r="57" spans="1:6" x14ac:dyDescent="0.3">
      <c r="C57">
        <v>3</v>
      </c>
      <c r="D57">
        <f>COUNTIF(D$2:D$54,3)</f>
        <v>41</v>
      </c>
      <c r="E57">
        <f t="shared" ref="E57:E58" si="0">D57/53</f>
        <v>0.77358490566037741</v>
      </c>
    </row>
    <row r="58" spans="1:6" x14ac:dyDescent="0.3">
      <c r="C58">
        <v>4</v>
      </c>
      <c r="D58">
        <f>COUNTIF(D$2:D$54,4)</f>
        <v>7</v>
      </c>
      <c r="E58">
        <f t="shared" si="0"/>
        <v>0.13207547169811321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4ABF3-A1B7-4542-80C9-AC1C79D7F8FA}">
  <dimension ref="A1:C272"/>
  <sheetViews>
    <sheetView workbookViewId="0">
      <selection activeCell="F14" sqref="F14"/>
    </sheetView>
  </sheetViews>
  <sheetFormatPr defaultRowHeight="14.4" x14ac:dyDescent="0.3"/>
  <cols>
    <col min="3" max="3" width="18.88671875" customWidth="1"/>
  </cols>
  <sheetData>
    <row r="1" spans="1:3" x14ac:dyDescent="0.3">
      <c r="A1" t="s">
        <v>6</v>
      </c>
      <c r="B1" t="s">
        <v>2593</v>
      </c>
      <c r="C1" t="s">
        <v>2594</v>
      </c>
    </row>
    <row r="2" spans="1:3" x14ac:dyDescent="0.3">
      <c r="A2" t="s">
        <v>21</v>
      </c>
      <c r="B2">
        <v>2005</v>
      </c>
      <c r="C2" t="s">
        <v>2580</v>
      </c>
    </row>
    <row r="3" spans="1:3" x14ac:dyDescent="0.3">
      <c r="A3" t="s">
        <v>23</v>
      </c>
      <c r="B3">
        <v>2005</v>
      </c>
      <c r="C3" t="s">
        <v>2581</v>
      </c>
    </row>
    <row r="4" spans="1:3" x14ac:dyDescent="0.3">
      <c r="A4" t="s">
        <v>25</v>
      </c>
      <c r="B4">
        <v>2005</v>
      </c>
      <c r="C4" t="s">
        <v>2582</v>
      </c>
    </row>
    <row r="5" spans="1:3" x14ac:dyDescent="0.3">
      <c r="A5" t="s">
        <v>27</v>
      </c>
      <c r="B5">
        <v>2005</v>
      </c>
      <c r="C5" t="s">
        <v>2583</v>
      </c>
    </row>
    <row r="6" spans="1:3" x14ac:dyDescent="0.3">
      <c r="A6" t="s">
        <v>29</v>
      </c>
      <c r="B6">
        <v>2006</v>
      </c>
      <c r="C6" t="s">
        <v>2581</v>
      </c>
    </row>
    <row r="7" spans="1:3" x14ac:dyDescent="0.3">
      <c r="A7" t="s">
        <v>31</v>
      </c>
      <c r="B7">
        <v>2006</v>
      </c>
      <c r="C7" t="s">
        <v>2582</v>
      </c>
    </row>
    <row r="8" spans="1:3" x14ac:dyDescent="0.3">
      <c r="A8" t="s">
        <v>33</v>
      </c>
      <c r="B8">
        <v>2006</v>
      </c>
      <c r="C8" t="s">
        <v>2580</v>
      </c>
    </row>
    <row r="9" spans="1:3" x14ac:dyDescent="0.3">
      <c r="A9" t="s">
        <v>35</v>
      </c>
      <c r="B9">
        <v>2006</v>
      </c>
      <c r="C9" t="s">
        <v>2584</v>
      </c>
    </row>
    <row r="10" spans="1:3" x14ac:dyDescent="0.3">
      <c r="A10" t="s">
        <v>37</v>
      </c>
      <c r="B10">
        <v>2006</v>
      </c>
      <c r="C10" t="s">
        <v>2581</v>
      </c>
    </row>
    <row r="11" spans="1:3" x14ac:dyDescent="0.3">
      <c r="A11" t="s">
        <v>39</v>
      </c>
      <c r="B11">
        <v>2006</v>
      </c>
      <c r="C11" t="s">
        <v>2582</v>
      </c>
    </row>
    <row r="12" spans="1:3" x14ac:dyDescent="0.3">
      <c r="A12" t="s">
        <v>41</v>
      </c>
      <c r="B12">
        <v>2006</v>
      </c>
      <c r="C12" t="s">
        <v>2580</v>
      </c>
    </row>
    <row r="13" spans="1:3" x14ac:dyDescent="0.3">
      <c r="A13" t="s">
        <v>43</v>
      </c>
      <c r="B13">
        <v>2006</v>
      </c>
      <c r="C13" t="s">
        <v>2582</v>
      </c>
    </row>
    <row r="14" spans="1:3" x14ac:dyDescent="0.3">
      <c r="A14" t="s">
        <v>45</v>
      </c>
      <c r="B14">
        <v>2006</v>
      </c>
      <c r="C14" t="s">
        <v>2580</v>
      </c>
    </row>
    <row r="15" spans="1:3" x14ac:dyDescent="0.3">
      <c r="A15" t="s">
        <v>47</v>
      </c>
      <c r="B15">
        <v>2006</v>
      </c>
      <c r="C15" t="s">
        <v>2582</v>
      </c>
    </row>
    <row r="16" spans="1:3" x14ac:dyDescent="0.3">
      <c r="A16" t="s">
        <v>49</v>
      </c>
      <c r="B16">
        <v>2006</v>
      </c>
      <c r="C16" t="s">
        <v>2585</v>
      </c>
    </row>
    <row r="17" spans="1:3" x14ac:dyDescent="0.3">
      <c r="A17" t="s">
        <v>51</v>
      </c>
      <c r="B17">
        <v>2006</v>
      </c>
      <c r="C17" t="s">
        <v>2581</v>
      </c>
    </row>
    <row r="18" spans="1:3" x14ac:dyDescent="0.3">
      <c r="A18" t="s">
        <v>53</v>
      </c>
      <c r="B18">
        <v>2006</v>
      </c>
      <c r="C18" t="s">
        <v>2580</v>
      </c>
    </row>
    <row r="19" spans="1:3" x14ac:dyDescent="0.3">
      <c r="A19" t="s">
        <v>55</v>
      </c>
      <c r="B19">
        <v>2006</v>
      </c>
      <c r="C19" t="s">
        <v>2582</v>
      </c>
    </row>
    <row r="20" spans="1:3" x14ac:dyDescent="0.3">
      <c r="A20" t="s">
        <v>57</v>
      </c>
      <c r="B20">
        <v>2006</v>
      </c>
      <c r="C20" t="s">
        <v>2582</v>
      </c>
    </row>
    <row r="21" spans="1:3" x14ac:dyDescent="0.3">
      <c r="A21" t="s">
        <v>59</v>
      </c>
      <c r="B21">
        <v>2006</v>
      </c>
      <c r="C21" t="s">
        <v>2582</v>
      </c>
    </row>
    <row r="22" spans="1:3" x14ac:dyDescent="0.3">
      <c r="A22" t="s">
        <v>61</v>
      </c>
      <c r="B22">
        <v>2006</v>
      </c>
      <c r="C22" t="s">
        <v>2580</v>
      </c>
    </row>
    <row r="23" spans="1:3" x14ac:dyDescent="0.3">
      <c r="A23" t="s">
        <v>63</v>
      </c>
      <c r="B23">
        <v>2006</v>
      </c>
      <c r="C23" t="s">
        <v>2582</v>
      </c>
    </row>
    <row r="24" spans="1:3" x14ac:dyDescent="0.3">
      <c r="A24" t="s">
        <v>65</v>
      </c>
      <c r="B24">
        <v>2006</v>
      </c>
      <c r="C24" t="s">
        <v>2583</v>
      </c>
    </row>
    <row r="25" spans="1:3" x14ac:dyDescent="0.3">
      <c r="A25" t="s">
        <v>66</v>
      </c>
      <c r="B25">
        <v>2006</v>
      </c>
      <c r="C25" t="s">
        <v>2582</v>
      </c>
    </row>
    <row r="26" spans="1:3" x14ac:dyDescent="0.3">
      <c r="A26" t="s">
        <v>67</v>
      </c>
      <c r="B26">
        <v>2006</v>
      </c>
      <c r="C26" t="s">
        <v>2584</v>
      </c>
    </row>
    <row r="27" spans="1:3" x14ac:dyDescent="0.3">
      <c r="A27" t="s">
        <v>68</v>
      </c>
      <c r="B27">
        <v>2006</v>
      </c>
      <c r="C27" t="s">
        <v>2582</v>
      </c>
    </row>
    <row r="28" spans="1:3" x14ac:dyDescent="0.3">
      <c r="A28" t="s">
        <v>69</v>
      </c>
      <c r="B28">
        <v>2006</v>
      </c>
      <c r="C28" t="s">
        <v>2580</v>
      </c>
    </row>
    <row r="29" spans="1:3" x14ac:dyDescent="0.3">
      <c r="A29" t="s">
        <v>70</v>
      </c>
      <c r="B29">
        <v>2006</v>
      </c>
      <c r="C29" t="s">
        <v>2580</v>
      </c>
    </row>
    <row r="30" spans="1:3" x14ac:dyDescent="0.3">
      <c r="A30" t="s">
        <v>71</v>
      </c>
      <c r="B30">
        <v>2006</v>
      </c>
      <c r="C30" t="s">
        <v>2582</v>
      </c>
    </row>
    <row r="31" spans="1:3" x14ac:dyDescent="0.3">
      <c r="A31" t="s">
        <v>72</v>
      </c>
      <c r="B31">
        <v>2006</v>
      </c>
      <c r="C31" t="s">
        <v>2582</v>
      </c>
    </row>
    <row r="32" spans="1:3" x14ac:dyDescent="0.3">
      <c r="A32" t="s">
        <v>73</v>
      </c>
      <c r="B32">
        <v>2006</v>
      </c>
      <c r="C32" t="s">
        <v>2580</v>
      </c>
    </row>
    <row r="33" spans="1:3" x14ac:dyDescent="0.3">
      <c r="A33" t="s">
        <v>74</v>
      </c>
      <c r="B33">
        <v>2006</v>
      </c>
      <c r="C33" t="s">
        <v>2582</v>
      </c>
    </row>
    <row r="34" spans="1:3" x14ac:dyDescent="0.3">
      <c r="A34" t="s">
        <v>75</v>
      </c>
      <c r="B34">
        <v>2006</v>
      </c>
      <c r="C34" t="s">
        <v>2582</v>
      </c>
    </row>
    <row r="35" spans="1:3" x14ac:dyDescent="0.3">
      <c r="A35" t="s">
        <v>76</v>
      </c>
      <c r="B35">
        <v>2006</v>
      </c>
      <c r="C35" t="s">
        <v>2580</v>
      </c>
    </row>
    <row r="36" spans="1:3" x14ac:dyDescent="0.3">
      <c r="A36" t="s">
        <v>77</v>
      </c>
      <c r="B36">
        <v>2006</v>
      </c>
      <c r="C36" t="s">
        <v>2582</v>
      </c>
    </row>
    <row r="37" spans="1:3" x14ac:dyDescent="0.3">
      <c r="A37" t="s">
        <v>79</v>
      </c>
      <c r="B37">
        <v>2006</v>
      </c>
      <c r="C37" t="s">
        <v>2586</v>
      </c>
    </row>
    <row r="38" spans="1:3" x14ac:dyDescent="0.3">
      <c r="A38" t="s">
        <v>81</v>
      </c>
      <c r="B38">
        <v>2006</v>
      </c>
      <c r="C38" t="s">
        <v>2582</v>
      </c>
    </row>
    <row r="39" spans="1:3" x14ac:dyDescent="0.3">
      <c r="A39" t="s">
        <v>83</v>
      </c>
      <c r="B39">
        <v>2006</v>
      </c>
      <c r="C39" t="s">
        <v>2582</v>
      </c>
    </row>
    <row r="40" spans="1:3" x14ac:dyDescent="0.3">
      <c r="A40" t="s">
        <v>85</v>
      </c>
      <c r="B40">
        <v>2006</v>
      </c>
      <c r="C40" t="s">
        <v>2582</v>
      </c>
    </row>
    <row r="41" spans="1:3" x14ac:dyDescent="0.3">
      <c r="A41" t="s">
        <v>87</v>
      </c>
      <c r="B41">
        <v>2006</v>
      </c>
      <c r="C41" t="s">
        <v>2582</v>
      </c>
    </row>
    <row r="42" spans="1:3" x14ac:dyDescent="0.3">
      <c r="A42" t="s">
        <v>93</v>
      </c>
      <c r="B42">
        <v>2007</v>
      </c>
      <c r="C42" t="s">
        <v>2582</v>
      </c>
    </row>
    <row r="43" spans="1:3" x14ac:dyDescent="0.3">
      <c r="A43" t="s">
        <v>95</v>
      </c>
      <c r="B43">
        <v>2007</v>
      </c>
      <c r="C43" t="s">
        <v>2580</v>
      </c>
    </row>
    <row r="44" spans="1:3" x14ac:dyDescent="0.3">
      <c r="A44" t="s">
        <v>97</v>
      </c>
      <c r="B44">
        <v>2007</v>
      </c>
      <c r="C44" t="s">
        <v>2582</v>
      </c>
    </row>
    <row r="45" spans="1:3" x14ac:dyDescent="0.3">
      <c r="A45" t="s">
        <v>99</v>
      </c>
      <c r="B45">
        <v>2007</v>
      </c>
      <c r="C45" t="s">
        <v>2581</v>
      </c>
    </row>
    <row r="46" spans="1:3" x14ac:dyDescent="0.3">
      <c r="A46" t="s">
        <v>103</v>
      </c>
      <c r="B46">
        <v>2007</v>
      </c>
      <c r="C46" t="s">
        <v>2587</v>
      </c>
    </row>
    <row r="47" spans="1:3" x14ac:dyDescent="0.3">
      <c r="A47" t="s">
        <v>105</v>
      </c>
      <c r="B47">
        <v>2007</v>
      </c>
      <c r="C47" t="s">
        <v>2582</v>
      </c>
    </row>
    <row r="48" spans="1:3" x14ac:dyDescent="0.3">
      <c r="A48" t="s">
        <v>107</v>
      </c>
      <c r="B48">
        <v>2007</v>
      </c>
      <c r="C48" t="s">
        <v>2582</v>
      </c>
    </row>
    <row r="49" spans="1:3" x14ac:dyDescent="0.3">
      <c r="A49" t="s">
        <v>109</v>
      </c>
      <c r="B49">
        <v>2007</v>
      </c>
      <c r="C49" t="s">
        <v>2582</v>
      </c>
    </row>
    <row r="50" spans="1:3" x14ac:dyDescent="0.3">
      <c r="A50" t="s">
        <v>111</v>
      </c>
      <c r="B50">
        <v>2007</v>
      </c>
      <c r="C50" t="s">
        <v>2580</v>
      </c>
    </row>
    <row r="51" spans="1:3" x14ac:dyDescent="0.3">
      <c r="A51" t="s">
        <v>113</v>
      </c>
      <c r="B51">
        <v>2007</v>
      </c>
      <c r="C51" t="s">
        <v>2580</v>
      </c>
    </row>
    <row r="52" spans="1:3" x14ac:dyDescent="0.3">
      <c r="A52" t="s">
        <v>115</v>
      </c>
      <c r="B52">
        <v>2007</v>
      </c>
      <c r="C52" t="s">
        <v>2582</v>
      </c>
    </row>
    <row r="53" spans="1:3" x14ac:dyDescent="0.3">
      <c r="A53" t="s">
        <v>117</v>
      </c>
      <c r="B53">
        <v>2007</v>
      </c>
      <c r="C53" t="s">
        <v>2582</v>
      </c>
    </row>
    <row r="54" spans="1:3" x14ac:dyDescent="0.3">
      <c r="A54" t="s">
        <v>119</v>
      </c>
      <c r="B54">
        <v>2007</v>
      </c>
      <c r="C54" t="s">
        <v>2582</v>
      </c>
    </row>
    <row r="55" spans="1:3" x14ac:dyDescent="0.3">
      <c r="A55" t="s">
        <v>121</v>
      </c>
      <c r="B55">
        <v>2007</v>
      </c>
      <c r="C55" t="s">
        <v>2580</v>
      </c>
    </row>
    <row r="56" spans="1:3" x14ac:dyDescent="0.3">
      <c r="A56" t="s">
        <v>123</v>
      </c>
      <c r="B56">
        <v>2007</v>
      </c>
      <c r="C56" t="s">
        <v>2580</v>
      </c>
    </row>
    <row r="57" spans="1:3" x14ac:dyDescent="0.3">
      <c r="A57" t="s">
        <v>127</v>
      </c>
      <c r="B57">
        <v>2007</v>
      </c>
      <c r="C57" t="s">
        <v>2581</v>
      </c>
    </row>
    <row r="58" spans="1:3" x14ac:dyDescent="0.3">
      <c r="A58" t="s">
        <v>129</v>
      </c>
      <c r="B58">
        <v>2007</v>
      </c>
      <c r="C58" t="s">
        <v>2582</v>
      </c>
    </row>
    <row r="59" spans="1:3" x14ac:dyDescent="0.3">
      <c r="A59" t="s">
        <v>131</v>
      </c>
      <c r="B59">
        <v>2007</v>
      </c>
      <c r="C59" t="s">
        <v>2582</v>
      </c>
    </row>
    <row r="60" spans="1:3" x14ac:dyDescent="0.3">
      <c r="A60" t="s">
        <v>135</v>
      </c>
      <c r="B60">
        <v>2007</v>
      </c>
      <c r="C60" t="s">
        <v>2582</v>
      </c>
    </row>
    <row r="61" spans="1:3" x14ac:dyDescent="0.3">
      <c r="A61" t="s">
        <v>137</v>
      </c>
      <c r="B61">
        <v>2007</v>
      </c>
      <c r="C61" t="s">
        <v>2582</v>
      </c>
    </row>
    <row r="62" spans="1:3" x14ac:dyDescent="0.3">
      <c r="A62" t="s">
        <v>139</v>
      </c>
      <c r="B62">
        <v>2007</v>
      </c>
      <c r="C62" t="s">
        <v>2580</v>
      </c>
    </row>
    <row r="63" spans="1:3" x14ac:dyDescent="0.3">
      <c r="A63" t="s">
        <v>141</v>
      </c>
      <c r="B63">
        <v>2007</v>
      </c>
      <c r="C63" t="s">
        <v>2582</v>
      </c>
    </row>
    <row r="64" spans="1:3" x14ac:dyDescent="0.3">
      <c r="A64" t="s">
        <v>143</v>
      </c>
      <c r="B64">
        <v>2007</v>
      </c>
      <c r="C64" t="s">
        <v>2582</v>
      </c>
    </row>
    <row r="65" spans="1:3" x14ac:dyDescent="0.3">
      <c r="A65" t="s">
        <v>145</v>
      </c>
      <c r="B65">
        <v>2007</v>
      </c>
      <c r="C65" t="s">
        <v>2582</v>
      </c>
    </row>
    <row r="66" spans="1:3" x14ac:dyDescent="0.3">
      <c r="A66" t="s">
        <v>147</v>
      </c>
      <c r="B66">
        <v>2007</v>
      </c>
      <c r="C66" t="s">
        <v>2581</v>
      </c>
    </row>
    <row r="67" spans="1:3" x14ac:dyDescent="0.3">
      <c r="A67" t="s">
        <v>149</v>
      </c>
      <c r="B67">
        <v>2007</v>
      </c>
      <c r="C67" t="s">
        <v>2580</v>
      </c>
    </row>
    <row r="68" spans="1:3" x14ac:dyDescent="0.3">
      <c r="A68" t="s">
        <v>153</v>
      </c>
      <c r="B68">
        <v>2007</v>
      </c>
      <c r="C68" t="s">
        <v>2582</v>
      </c>
    </row>
    <row r="69" spans="1:3" x14ac:dyDescent="0.3">
      <c r="A69" t="s">
        <v>155</v>
      </c>
      <c r="B69">
        <v>2007</v>
      </c>
      <c r="C69" t="s">
        <v>2580</v>
      </c>
    </row>
    <row r="70" spans="1:3" x14ac:dyDescent="0.3">
      <c r="A70" t="s">
        <v>157</v>
      </c>
      <c r="B70">
        <v>2007</v>
      </c>
      <c r="C70" t="s">
        <v>2580</v>
      </c>
    </row>
    <row r="71" spans="1:3" x14ac:dyDescent="0.3">
      <c r="A71" t="s">
        <v>159</v>
      </c>
      <c r="B71">
        <v>2007</v>
      </c>
      <c r="C71" t="s">
        <v>2582</v>
      </c>
    </row>
    <row r="72" spans="1:3" x14ac:dyDescent="0.3">
      <c r="A72" t="s">
        <v>161</v>
      </c>
      <c r="B72">
        <v>2007</v>
      </c>
      <c r="C72" t="s">
        <v>2582</v>
      </c>
    </row>
    <row r="73" spans="1:3" x14ac:dyDescent="0.3">
      <c r="A73" t="s">
        <v>163</v>
      </c>
      <c r="B73">
        <v>2007</v>
      </c>
      <c r="C73" t="s">
        <v>2582</v>
      </c>
    </row>
    <row r="74" spans="1:3" x14ac:dyDescent="0.3">
      <c r="A74" t="s">
        <v>165</v>
      </c>
      <c r="B74">
        <v>2007</v>
      </c>
      <c r="C74" t="s">
        <v>2582</v>
      </c>
    </row>
    <row r="75" spans="1:3" x14ac:dyDescent="0.3">
      <c r="A75" t="s">
        <v>167</v>
      </c>
      <c r="B75">
        <v>2008</v>
      </c>
      <c r="C75" t="s">
        <v>2581</v>
      </c>
    </row>
    <row r="76" spans="1:3" x14ac:dyDescent="0.3">
      <c r="A76" t="s">
        <v>169</v>
      </c>
      <c r="B76">
        <v>2008</v>
      </c>
      <c r="C76" t="s">
        <v>2583</v>
      </c>
    </row>
    <row r="77" spans="1:3" x14ac:dyDescent="0.3">
      <c r="A77" t="s">
        <v>171</v>
      </c>
      <c r="B77">
        <v>2008</v>
      </c>
      <c r="C77" t="s">
        <v>2582</v>
      </c>
    </row>
    <row r="78" spans="1:3" x14ac:dyDescent="0.3">
      <c r="A78" t="s">
        <v>173</v>
      </c>
      <c r="B78">
        <v>2008</v>
      </c>
      <c r="C78" t="s">
        <v>2581</v>
      </c>
    </row>
    <row r="79" spans="1:3" x14ac:dyDescent="0.3">
      <c r="A79" t="s">
        <v>175</v>
      </c>
      <c r="B79">
        <v>2008</v>
      </c>
      <c r="C79" t="s">
        <v>2584</v>
      </c>
    </row>
    <row r="80" spans="1:3" x14ac:dyDescent="0.3">
      <c r="A80" t="s">
        <v>177</v>
      </c>
      <c r="B80">
        <v>2009</v>
      </c>
      <c r="C80" t="s">
        <v>2582</v>
      </c>
    </row>
    <row r="81" spans="1:3" x14ac:dyDescent="0.3">
      <c r="A81" t="s">
        <v>179</v>
      </c>
      <c r="B81">
        <v>2009</v>
      </c>
      <c r="C81" t="s">
        <v>2582</v>
      </c>
    </row>
    <row r="82" spans="1:3" x14ac:dyDescent="0.3">
      <c r="A82" t="s">
        <v>181</v>
      </c>
      <c r="B82">
        <v>2009</v>
      </c>
      <c r="C82" t="s">
        <v>2582</v>
      </c>
    </row>
    <row r="83" spans="1:3" x14ac:dyDescent="0.3">
      <c r="A83" t="s">
        <v>183</v>
      </c>
      <c r="B83">
        <v>2009</v>
      </c>
      <c r="C83" t="s">
        <v>2582</v>
      </c>
    </row>
    <row r="84" spans="1:3" x14ac:dyDescent="0.3">
      <c r="A84" t="s">
        <v>185</v>
      </c>
      <c r="B84">
        <v>2009</v>
      </c>
      <c r="C84" t="s">
        <v>2582</v>
      </c>
    </row>
    <row r="85" spans="1:3" x14ac:dyDescent="0.3">
      <c r="A85" t="s">
        <v>187</v>
      </c>
      <c r="B85">
        <v>2009</v>
      </c>
      <c r="C85" t="s">
        <v>2580</v>
      </c>
    </row>
    <row r="86" spans="1:3" x14ac:dyDescent="0.3">
      <c r="A86" t="s">
        <v>189</v>
      </c>
      <c r="B86">
        <v>2009</v>
      </c>
      <c r="C86" t="s">
        <v>2582</v>
      </c>
    </row>
    <row r="87" spans="1:3" x14ac:dyDescent="0.3">
      <c r="A87" t="s">
        <v>191</v>
      </c>
      <c r="B87">
        <v>2008</v>
      </c>
      <c r="C87" t="s">
        <v>2583</v>
      </c>
    </row>
    <row r="88" spans="1:3" x14ac:dyDescent="0.3">
      <c r="A88" t="s">
        <v>193</v>
      </c>
      <c r="B88">
        <v>2009</v>
      </c>
      <c r="C88" t="s">
        <v>2581</v>
      </c>
    </row>
    <row r="89" spans="1:3" x14ac:dyDescent="0.3">
      <c r="A89" t="s">
        <v>195</v>
      </c>
      <c r="B89">
        <v>2009</v>
      </c>
      <c r="C89" t="s">
        <v>2580</v>
      </c>
    </row>
    <row r="90" spans="1:3" x14ac:dyDescent="0.3">
      <c r="A90" t="s">
        <v>197</v>
      </c>
      <c r="B90">
        <v>2009</v>
      </c>
      <c r="C90" t="s">
        <v>2580</v>
      </c>
    </row>
    <row r="91" spans="1:3" x14ac:dyDescent="0.3">
      <c r="A91" t="s">
        <v>199</v>
      </c>
      <c r="B91">
        <v>2009</v>
      </c>
      <c r="C91" t="s">
        <v>2580</v>
      </c>
    </row>
    <row r="92" spans="1:3" x14ac:dyDescent="0.3">
      <c r="A92" t="s">
        <v>201</v>
      </c>
      <c r="B92">
        <v>2009</v>
      </c>
      <c r="C92" t="s">
        <v>2581</v>
      </c>
    </row>
    <row r="93" spans="1:3" x14ac:dyDescent="0.3">
      <c r="A93" t="s">
        <v>203</v>
      </c>
      <c r="B93">
        <v>2009</v>
      </c>
      <c r="C93" t="s">
        <v>2581</v>
      </c>
    </row>
    <row r="94" spans="1:3" x14ac:dyDescent="0.3">
      <c r="A94" t="s">
        <v>205</v>
      </c>
      <c r="B94">
        <v>2009</v>
      </c>
      <c r="C94" t="s">
        <v>2580</v>
      </c>
    </row>
    <row r="95" spans="1:3" x14ac:dyDescent="0.3">
      <c r="A95" t="s">
        <v>207</v>
      </c>
      <c r="B95">
        <v>2009</v>
      </c>
      <c r="C95" t="s">
        <v>2581</v>
      </c>
    </row>
    <row r="96" spans="1:3" x14ac:dyDescent="0.3">
      <c r="A96" t="s">
        <v>209</v>
      </c>
      <c r="B96">
        <v>2009</v>
      </c>
      <c r="C96" t="s">
        <v>2582</v>
      </c>
    </row>
    <row r="97" spans="1:3" x14ac:dyDescent="0.3">
      <c r="A97" t="s">
        <v>211</v>
      </c>
      <c r="B97">
        <v>2009</v>
      </c>
      <c r="C97" t="s">
        <v>2582</v>
      </c>
    </row>
    <row r="98" spans="1:3" x14ac:dyDescent="0.3">
      <c r="A98" t="s">
        <v>213</v>
      </c>
      <c r="B98">
        <v>2009</v>
      </c>
      <c r="C98" t="s">
        <v>2586</v>
      </c>
    </row>
    <row r="99" spans="1:3" x14ac:dyDescent="0.3">
      <c r="A99" t="s">
        <v>269</v>
      </c>
      <c r="B99">
        <v>2010</v>
      </c>
      <c r="C99" t="s">
        <v>2588</v>
      </c>
    </row>
    <row r="100" spans="1:3" x14ac:dyDescent="0.3">
      <c r="A100" t="s">
        <v>271</v>
      </c>
      <c r="B100">
        <v>2010</v>
      </c>
      <c r="C100" t="s">
        <v>2588</v>
      </c>
    </row>
    <row r="101" spans="1:3" x14ac:dyDescent="0.3">
      <c r="A101" t="s">
        <v>273</v>
      </c>
      <c r="B101">
        <v>2010</v>
      </c>
      <c r="C101" t="s">
        <v>2586</v>
      </c>
    </row>
    <row r="102" spans="1:3" x14ac:dyDescent="0.3">
      <c r="A102" t="s">
        <v>275</v>
      </c>
      <c r="B102">
        <v>2010</v>
      </c>
      <c r="C102" t="s">
        <v>2580</v>
      </c>
    </row>
    <row r="103" spans="1:3" x14ac:dyDescent="0.3">
      <c r="A103" t="s">
        <v>277</v>
      </c>
      <c r="B103">
        <v>2010</v>
      </c>
      <c r="C103" t="s">
        <v>2582</v>
      </c>
    </row>
    <row r="104" spans="1:3" x14ac:dyDescent="0.3">
      <c r="A104" t="s">
        <v>279</v>
      </c>
      <c r="B104">
        <v>2010</v>
      </c>
      <c r="C104" t="s">
        <v>2583</v>
      </c>
    </row>
    <row r="105" spans="1:3" x14ac:dyDescent="0.3">
      <c r="A105" t="s">
        <v>281</v>
      </c>
      <c r="B105">
        <v>2010</v>
      </c>
      <c r="C105" t="s">
        <v>2586</v>
      </c>
    </row>
    <row r="106" spans="1:3" x14ac:dyDescent="0.3">
      <c r="A106" t="s">
        <v>283</v>
      </c>
      <c r="B106">
        <v>2010</v>
      </c>
      <c r="C106" t="s">
        <v>2582</v>
      </c>
    </row>
    <row r="107" spans="1:3" x14ac:dyDescent="0.3">
      <c r="A107" t="s">
        <v>285</v>
      </c>
      <c r="B107">
        <v>2010</v>
      </c>
      <c r="C107" t="s">
        <v>2587</v>
      </c>
    </row>
    <row r="108" spans="1:3" x14ac:dyDescent="0.3">
      <c r="A108" t="s">
        <v>287</v>
      </c>
      <c r="B108">
        <v>2010</v>
      </c>
      <c r="C108" t="s">
        <v>2587</v>
      </c>
    </row>
    <row r="109" spans="1:3" x14ac:dyDescent="0.3">
      <c r="A109" t="s">
        <v>289</v>
      </c>
      <c r="B109">
        <v>2010</v>
      </c>
      <c r="C109" t="s">
        <v>2581</v>
      </c>
    </row>
    <row r="110" spans="1:3" x14ac:dyDescent="0.3">
      <c r="A110" t="s">
        <v>291</v>
      </c>
      <c r="B110">
        <v>2010</v>
      </c>
      <c r="C110" t="s">
        <v>2580</v>
      </c>
    </row>
    <row r="111" spans="1:3" x14ac:dyDescent="0.3">
      <c r="A111" t="s">
        <v>295</v>
      </c>
      <c r="B111">
        <v>2010</v>
      </c>
      <c r="C111" t="s">
        <v>2580</v>
      </c>
    </row>
    <row r="112" spans="1:3" x14ac:dyDescent="0.3">
      <c r="A112" t="s">
        <v>297</v>
      </c>
      <c r="B112">
        <v>2010</v>
      </c>
      <c r="C112" t="s">
        <v>2588</v>
      </c>
    </row>
    <row r="113" spans="1:3" x14ac:dyDescent="0.3">
      <c r="A113" t="s">
        <v>299</v>
      </c>
      <c r="B113">
        <v>2010</v>
      </c>
      <c r="C113" t="s">
        <v>2581</v>
      </c>
    </row>
    <row r="114" spans="1:3" x14ac:dyDescent="0.3">
      <c r="A114" t="s">
        <v>301</v>
      </c>
      <c r="B114">
        <v>2010</v>
      </c>
      <c r="C114" t="s">
        <v>2587</v>
      </c>
    </row>
    <row r="115" spans="1:3" x14ac:dyDescent="0.3">
      <c r="A115" t="s">
        <v>303</v>
      </c>
      <c r="B115">
        <v>2010</v>
      </c>
      <c r="C115" t="s">
        <v>2581</v>
      </c>
    </row>
    <row r="116" spans="1:3" x14ac:dyDescent="0.3">
      <c r="A116" t="s">
        <v>305</v>
      </c>
      <c r="B116">
        <v>2010</v>
      </c>
      <c r="C116" t="s">
        <v>2587</v>
      </c>
    </row>
    <row r="117" spans="1:3" x14ac:dyDescent="0.3">
      <c r="A117" t="s">
        <v>307</v>
      </c>
      <c r="B117">
        <v>2010</v>
      </c>
      <c r="C117" t="s">
        <v>2582</v>
      </c>
    </row>
    <row r="118" spans="1:3" x14ac:dyDescent="0.3">
      <c r="A118" t="s">
        <v>309</v>
      </c>
      <c r="B118">
        <v>2010</v>
      </c>
      <c r="C118" t="s">
        <v>2581</v>
      </c>
    </row>
    <row r="119" spans="1:3" x14ac:dyDescent="0.3">
      <c r="A119" t="s">
        <v>311</v>
      </c>
      <c r="B119">
        <v>2010</v>
      </c>
      <c r="C119" t="s">
        <v>2587</v>
      </c>
    </row>
    <row r="120" spans="1:3" x14ac:dyDescent="0.3">
      <c r="A120" t="s">
        <v>313</v>
      </c>
      <c r="B120">
        <v>2010</v>
      </c>
      <c r="C120" t="s">
        <v>2587</v>
      </c>
    </row>
    <row r="121" spans="1:3" x14ac:dyDescent="0.3">
      <c r="A121" t="s">
        <v>315</v>
      </c>
      <c r="B121">
        <v>2010</v>
      </c>
      <c r="C121" t="s">
        <v>2582</v>
      </c>
    </row>
    <row r="122" spans="1:3" x14ac:dyDescent="0.3">
      <c r="A122" t="s">
        <v>317</v>
      </c>
      <c r="B122">
        <v>2010</v>
      </c>
      <c r="C122" t="s">
        <v>2582</v>
      </c>
    </row>
    <row r="123" spans="1:3" x14ac:dyDescent="0.3">
      <c r="A123" t="s">
        <v>319</v>
      </c>
      <c r="B123">
        <v>2010</v>
      </c>
      <c r="C123" t="s">
        <v>2580</v>
      </c>
    </row>
    <row r="124" spans="1:3" x14ac:dyDescent="0.3">
      <c r="A124" t="s">
        <v>321</v>
      </c>
      <c r="B124">
        <v>2010</v>
      </c>
      <c r="C124" t="s">
        <v>2587</v>
      </c>
    </row>
    <row r="125" spans="1:3" x14ac:dyDescent="0.3">
      <c r="A125" t="s">
        <v>323</v>
      </c>
      <c r="B125">
        <v>2010</v>
      </c>
      <c r="C125" t="s">
        <v>2582</v>
      </c>
    </row>
    <row r="126" spans="1:3" x14ac:dyDescent="0.3">
      <c r="A126" t="s">
        <v>325</v>
      </c>
      <c r="B126">
        <v>2010</v>
      </c>
      <c r="C126" t="s">
        <v>2580</v>
      </c>
    </row>
    <row r="127" spans="1:3" x14ac:dyDescent="0.3">
      <c r="A127" t="s">
        <v>691</v>
      </c>
      <c r="B127">
        <v>2011</v>
      </c>
      <c r="C127" t="s">
        <v>2580</v>
      </c>
    </row>
    <row r="128" spans="1:3" x14ac:dyDescent="0.3">
      <c r="A128" t="s">
        <v>695</v>
      </c>
      <c r="B128">
        <v>2011</v>
      </c>
      <c r="C128" t="s">
        <v>2586</v>
      </c>
    </row>
    <row r="129" spans="1:3" x14ac:dyDescent="0.3">
      <c r="A129" t="s">
        <v>697</v>
      </c>
      <c r="B129">
        <v>2011</v>
      </c>
      <c r="C129" t="s">
        <v>2580</v>
      </c>
    </row>
    <row r="130" spans="1:3" x14ac:dyDescent="0.3">
      <c r="A130" t="s">
        <v>699</v>
      </c>
      <c r="B130">
        <v>2011</v>
      </c>
      <c r="C130" t="s">
        <v>2582</v>
      </c>
    </row>
    <row r="131" spans="1:3" x14ac:dyDescent="0.3">
      <c r="A131" t="s">
        <v>701</v>
      </c>
      <c r="B131">
        <v>2011</v>
      </c>
      <c r="C131" t="s">
        <v>2582</v>
      </c>
    </row>
    <row r="132" spans="1:3" x14ac:dyDescent="0.3">
      <c r="A132" t="s">
        <v>703</v>
      </c>
      <c r="B132">
        <v>2011</v>
      </c>
      <c r="C132" t="s">
        <v>2581</v>
      </c>
    </row>
    <row r="133" spans="1:3" x14ac:dyDescent="0.3">
      <c r="A133" t="s">
        <v>705</v>
      </c>
      <c r="B133">
        <v>2011</v>
      </c>
      <c r="C133" t="s">
        <v>2582</v>
      </c>
    </row>
    <row r="134" spans="1:3" x14ac:dyDescent="0.3">
      <c r="A134" t="s">
        <v>707</v>
      </c>
      <c r="B134">
        <v>2011</v>
      </c>
      <c r="C134" t="s">
        <v>2581</v>
      </c>
    </row>
    <row r="135" spans="1:3" x14ac:dyDescent="0.3">
      <c r="A135" t="s">
        <v>709</v>
      </c>
      <c r="B135">
        <v>2011</v>
      </c>
      <c r="C135" t="s">
        <v>2586</v>
      </c>
    </row>
    <row r="136" spans="1:3" x14ac:dyDescent="0.3">
      <c r="A136" t="s">
        <v>711</v>
      </c>
      <c r="B136">
        <v>2011</v>
      </c>
      <c r="C136" t="s">
        <v>2585</v>
      </c>
    </row>
    <row r="137" spans="1:3" x14ac:dyDescent="0.3">
      <c r="A137" t="s">
        <v>1023</v>
      </c>
      <c r="B137">
        <v>2012</v>
      </c>
      <c r="C137" t="s">
        <v>2582</v>
      </c>
    </row>
    <row r="138" spans="1:3" x14ac:dyDescent="0.3">
      <c r="A138" t="s">
        <v>1025</v>
      </c>
      <c r="B138">
        <v>2012</v>
      </c>
      <c r="C138" t="s">
        <v>2586</v>
      </c>
    </row>
    <row r="139" spans="1:3" x14ac:dyDescent="0.3">
      <c r="A139" t="s">
        <v>1027</v>
      </c>
      <c r="B139">
        <v>2012</v>
      </c>
      <c r="C139" t="s">
        <v>2582</v>
      </c>
    </row>
    <row r="140" spans="1:3" x14ac:dyDescent="0.3">
      <c r="A140" t="s">
        <v>1029</v>
      </c>
      <c r="B140">
        <v>2012</v>
      </c>
      <c r="C140" t="s">
        <v>2587</v>
      </c>
    </row>
    <row r="141" spans="1:3" x14ac:dyDescent="0.3">
      <c r="A141" t="s">
        <v>1031</v>
      </c>
      <c r="B141">
        <v>2012</v>
      </c>
      <c r="C141" t="s">
        <v>2587</v>
      </c>
    </row>
    <row r="142" spans="1:3" x14ac:dyDescent="0.3">
      <c r="A142" t="s">
        <v>1033</v>
      </c>
      <c r="B142">
        <v>2012</v>
      </c>
      <c r="C142" t="s">
        <v>2582</v>
      </c>
    </row>
    <row r="143" spans="1:3" x14ac:dyDescent="0.3">
      <c r="A143" t="s">
        <v>1035</v>
      </c>
      <c r="B143">
        <v>2012</v>
      </c>
      <c r="C143" t="s">
        <v>2581</v>
      </c>
    </row>
    <row r="144" spans="1:3" x14ac:dyDescent="0.3">
      <c r="A144" t="s">
        <v>1037</v>
      </c>
      <c r="B144">
        <v>2012</v>
      </c>
      <c r="C144" t="s">
        <v>2587</v>
      </c>
    </row>
    <row r="145" spans="1:3" x14ac:dyDescent="0.3">
      <c r="A145" t="s">
        <v>1039</v>
      </c>
      <c r="B145">
        <v>2012</v>
      </c>
      <c r="C145" t="s">
        <v>2581</v>
      </c>
    </row>
    <row r="146" spans="1:3" x14ac:dyDescent="0.3">
      <c r="A146" t="s">
        <v>1041</v>
      </c>
      <c r="B146">
        <v>2012</v>
      </c>
      <c r="C146" t="s">
        <v>2582</v>
      </c>
    </row>
    <row r="147" spans="1:3" x14ac:dyDescent="0.3">
      <c r="A147" t="s">
        <v>1043</v>
      </c>
      <c r="B147">
        <v>2012</v>
      </c>
      <c r="C147" t="s">
        <v>2582</v>
      </c>
    </row>
    <row r="148" spans="1:3" x14ac:dyDescent="0.3">
      <c r="A148" t="s">
        <v>1045</v>
      </c>
      <c r="B148">
        <v>2012</v>
      </c>
      <c r="C148" t="s">
        <v>2580</v>
      </c>
    </row>
    <row r="149" spans="1:3" x14ac:dyDescent="0.3">
      <c r="A149" t="s">
        <v>1047</v>
      </c>
      <c r="B149">
        <v>2012</v>
      </c>
      <c r="C149" t="s">
        <v>2580</v>
      </c>
    </row>
    <row r="150" spans="1:3" x14ac:dyDescent="0.3">
      <c r="A150" t="s">
        <v>1049</v>
      </c>
      <c r="B150">
        <v>2012</v>
      </c>
      <c r="C150" t="s">
        <v>2580</v>
      </c>
    </row>
    <row r="151" spans="1:3" x14ac:dyDescent="0.3">
      <c r="A151" t="s">
        <v>1051</v>
      </c>
      <c r="B151">
        <v>2012</v>
      </c>
      <c r="C151" t="s">
        <v>2582</v>
      </c>
    </row>
    <row r="152" spans="1:3" x14ac:dyDescent="0.3">
      <c r="A152" t="s">
        <v>1053</v>
      </c>
      <c r="B152">
        <v>2012</v>
      </c>
      <c r="C152" t="s">
        <v>2583</v>
      </c>
    </row>
    <row r="153" spans="1:3" x14ac:dyDescent="0.3">
      <c r="A153" t="s">
        <v>1055</v>
      </c>
      <c r="B153">
        <v>2012</v>
      </c>
      <c r="C153" t="s">
        <v>2589</v>
      </c>
    </row>
    <row r="154" spans="1:3" x14ac:dyDescent="0.3">
      <c r="A154" t="s">
        <v>1057</v>
      </c>
      <c r="B154">
        <v>2012</v>
      </c>
      <c r="C154" t="s">
        <v>2581</v>
      </c>
    </row>
    <row r="155" spans="1:3" x14ac:dyDescent="0.3">
      <c r="A155" t="s">
        <v>1059</v>
      </c>
      <c r="B155">
        <v>2012</v>
      </c>
      <c r="C155" t="s">
        <v>2587</v>
      </c>
    </row>
    <row r="156" spans="1:3" x14ac:dyDescent="0.3">
      <c r="A156" t="s">
        <v>1061</v>
      </c>
      <c r="B156">
        <v>2012</v>
      </c>
      <c r="C156" t="s">
        <v>2586</v>
      </c>
    </row>
    <row r="157" spans="1:3" x14ac:dyDescent="0.3">
      <c r="A157" t="s">
        <v>1063</v>
      </c>
      <c r="B157">
        <v>2012</v>
      </c>
      <c r="C157" t="s">
        <v>2587</v>
      </c>
    </row>
    <row r="158" spans="1:3" x14ac:dyDescent="0.3">
      <c r="A158" t="s">
        <v>1065</v>
      </c>
      <c r="B158">
        <v>2012</v>
      </c>
      <c r="C158" t="s">
        <v>2586</v>
      </c>
    </row>
    <row r="159" spans="1:3" x14ac:dyDescent="0.3">
      <c r="A159" t="s">
        <v>1067</v>
      </c>
      <c r="B159">
        <v>2012</v>
      </c>
      <c r="C159" t="s">
        <v>2582</v>
      </c>
    </row>
    <row r="160" spans="1:3" x14ac:dyDescent="0.3">
      <c r="A160" t="s">
        <v>1069</v>
      </c>
      <c r="B160">
        <v>2012</v>
      </c>
      <c r="C160" t="s">
        <v>2581</v>
      </c>
    </row>
    <row r="161" spans="1:3" x14ac:dyDescent="0.3">
      <c r="A161" t="s">
        <v>1071</v>
      </c>
      <c r="B161">
        <v>2012</v>
      </c>
      <c r="C161" t="s">
        <v>2580</v>
      </c>
    </row>
    <row r="162" spans="1:3" x14ac:dyDescent="0.3">
      <c r="A162" t="s">
        <v>1073</v>
      </c>
      <c r="B162">
        <v>2012</v>
      </c>
      <c r="C162" t="s">
        <v>2581</v>
      </c>
    </row>
    <row r="163" spans="1:3" x14ac:dyDescent="0.3">
      <c r="A163" t="s">
        <v>1075</v>
      </c>
      <c r="B163">
        <v>2012</v>
      </c>
      <c r="C163" t="s">
        <v>2582</v>
      </c>
    </row>
    <row r="164" spans="1:3" x14ac:dyDescent="0.3">
      <c r="A164" t="s">
        <v>1077</v>
      </c>
      <c r="B164">
        <v>2012</v>
      </c>
      <c r="C164" t="s">
        <v>2582</v>
      </c>
    </row>
    <row r="165" spans="1:3" x14ac:dyDescent="0.3">
      <c r="A165" t="s">
        <v>1079</v>
      </c>
      <c r="B165">
        <v>2012</v>
      </c>
      <c r="C165" t="s">
        <v>2582</v>
      </c>
    </row>
    <row r="166" spans="1:3" x14ac:dyDescent="0.3">
      <c r="A166" t="s">
        <v>1083</v>
      </c>
      <c r="B166">
        <v>2012</v>
      </c>
      <c r="C166" t="s">
        <v>2582</v>
      </c>
    </row>
    <row r="167" spans="1:3" x14ac:dyDescent="0.3">
      <c r="A167" t="s">
        <v>1085</v>
      </c>
      <c r="B167">
        <v>2012</v>
      </c>
      <c r="C167" t="s">
        <v>2583</v>
      </c>
    </row>
    <row r="168" spans="1:3" x14ac:dyDescent="0.3">
      <c r="A168" t="s">
        <v>1087</v>
      </c>
      <c r="B168">
        <v>2012</v>
      </c>
      <c r="C168" t="s">
        <v>2587</v>
      </c>
    </row>
    <row r="169" spans="1:3" x14ac:dyDescent="0.3">
      <c r="A169" t="s">
        <v>1089</v>
      </c>
      <c r="B169">
        <v>2012</v>
      </c>
      <c r="C169" t="s">
        <v>2580</v>
      </c>
    </row>
    <row r="170" spans="1:3" x14ac:dyDescent="0.3">
      <c r="A170" t="s">
        <v>1091</v>
      </c>
      <c r="B170">
        <v>2012</v>
      </c>
      <c r="C170" t="s">
        <v>2581</v>
      </c>
    </row>
    <row r="171" spans="1:3" x14ac:dyDescent="0.3">
      <c r="A171" t="s">
        <v>1093</v>
      </c>
      <c r="B171">
        <v>2012</v>
      </c>
      <c r="C171" t="s">
        <v>2581</v>
      </c>
    </row>
    <row r="172" spans="1:3" x14ac:dyDescent="0.3">
      <c r="A172" t="s">
        <v>1095</v>
      </c>
      <c r="B172">
        <v>2012</v>
      </c>
      <c r="C172" t="s">
        <v>2580</v>
      </c>
    </row>
    <row r="173" spans="1:3" x14ac:dyDescent="0.3">
      <c r="A173" t="s">
        <v>1097</v>
      </c>
      <c r="B173">
        <v>2012</v>
      </c>
      <c r="C173" t="s">
        <v>2581</v>
      </c>
    </row>
    <row r="174" spans="1:3" x14ac:dyDescent="0.3">
      <c r="A174" t="s">
        <v>1099</v>
      </c>
      <c r="B174">
        <v>2012</v>
      </c>
      <c r="C174" t="s">
        <v>2581</v>
      </c>
    </row>
    <row r="175" spans="1:3" x14ac:dyDescent="0.3">
      <c r="A175" t="s">
        <v>1101</v>
      </c>
      <c r="B175">
        <v>2012</v>
      </c>
      <c r="C175" t="s">
        <v>2583</v>
      </c>
    </row>
    <row r="176" spans="1:3" x14ac:dyDescent="0.3">
      <c r="A176" t="s">
        <v>1103</v>
      </c>
      <c r="B176">
        <v>2012</v>
      </c>
      <c r="C176" t="s">
        <v>2587</v>
      </c>
    </row>
    <row r="177" spans="1:3" x14ac:dyDescent="0.3">
      <c r="A177" t="s">
        <v>1105</v>
      </c>
      <c r="B177">
        <v>2012</v>
      </c>
      <c r="C177" t="s">
        <v>2582</v>
      </c>
    </row>
    <row r="178" spans="1:3" x14ac:dyDescent="0.3">
      <c r="A178" t="s">
        <v>1107</v>
      </c>
      <c r="B178">
        <v>2012</v>
      </c>
      <c r="C178" t="s">
        <v>2582</v>
      </c>
    </row>
    <row r="179" spans="1:3" x14ac:dyDescent="0.3">
      <c r="A179" t="s">
        <v>1109</v>
      </c>
      <c r="B179">
        <v>2012</v>
      </c>
      <c r="C179" t="s">
        <v>2586</v>
      </c>
    </row>
    <row r="180" spans="1:3" x14ac:dyDescent="0.3">
      <c r="A180" t="s">
        <v>1111</v>
      </c>
      <c r="B180">
        <v>2012</v>
      </c>
      <c r="C180" t="s">
        <v>2582</v>
      </c>
    </row>
    <row r="181" spans="1:3" x14ac:dyDescent="0.3">
      <c r="A181" t="s">
        <v>1113</v>
      </c>
      <c r="B181">
        <v>2012</v>
      </c>
      <c r="C181" t="s">
        <v>2581</v>
      </c>
    </row>
    <row r="182" spans="1:3" x14ac:dyDescent="0.3">
      <c r="A182" t="s">
        <v>1115</v>
      </c>
      <c r="B182">
        <v>2012</v>
      </c>
      <c r="C182" t="s">
        <v>2582</v>
      </c>
    </row>
    <row r="183" spans="1:3" x14ac:dyDescent="0.3">
      <c r="A183" t="s">
        <v>1117</v>
      </c>
      <c r="B183">
        <v>2012</v>
      </c>
      <c r="C183" t="s">
        <v>2587</v>
      </c>
    </row>
    <row r="184" spans="1:3" x14ac:dyDescent="0.3">
      <c r="A184" t="s">
        <v>1119</v>
      </c>
      <c r="B184">
        <v>2012</v>
      </c>
      <c r="C184" t="s">
        <v>2580</v>
      </c>
    </row>
    <row r="185" spans="1:3" x14ac:dyDescent="0.3">
      <c r="A185" t="s">
        <v>1121</v>
      </c>
      <c r="B185">
        <v>2012</v>
      </c>
      <c r="C185" t="s">
        <v>2587</v>
      </c>
    </row>
    <row r="186" spans="1:3" x14ac:dyDescent="0.3">
      <c r="A186" t="s">
        <v>1123</v>
      </c>
      <c r="B186">
        <v>2012</v>
      </c>
      <c r="C186" t="s">
        <v>2581</v>
      </c>
    </row>
    <row r="187" spans="1:3" x14ac:dyDescent="0.3">
      <c r="A187" t="s">
        <v>1125</v>
      </c>
      <c r="B187">
        <v>2012</v>
      </c>
      <c r="C187" t="s">
        <v>2583</v>
      </c>
    </row>
    <row r="188" spans="1:3" x14ac:dyDescent="0.3">
      <c r="A188" t="s">
        <v>1127</v>
      </c>
      <c r="B188">
        <v>2012</v>
      </c>
      <c r="C188" t="s">
        <v>2583</v>
      </c>
    </row>
    <row r="189" spans="1:3" x14ac:dyDescent="0.3">
      <c r="A189" t="s">
        <v>1129</v>
      </c>
      <c r="B189">
        <v>2012</v>
      </c>
      <c r="C189" t="s">
        <v>2582</v>
      </c>
    </row>
    <row r="190" spans="1:3" x14ac:dyDescent="0.3">
      <c r="A190" t="s">
        <v>1131</v>
      </c>
      <c r="B190">
        <v>2012</v>
      </c>
      <c r="C190" t="s">
        <v>2580</v>
      </c>
    </row>
    <row r="191" spans="1:3" x14ac:dyDescent="0.3">
      <c r="A191" t="s">
        <v>1135</v>
      </c>
      <c r="B191">
        <v>2012</v>
      </c>
      <c r="C191" t="s">
        <v>2582</v>
      </c>
    </row>
    <row r="192" spans="1:3" x14ac:dyDescent="0.3">
      <c r="A192" t="s">
        <v>1137</v>
      </c>
      <c r="B192">
        <v>2012</v>
      </c>
      <c r="C192" t="s">
        <v>2585</v>
      </c>
    </row>
    <row r="193" spans="1:3" x14ac:dyDescent="0.3">
      <c r="A193" t="s">
        <v>1139</v>
      </c>
      <c r="B193">
        <v>2012</v>
      </c>
      <c r="C193" t="s">
        <v>2581</v>
      </c>
    </row>
    <row r="194" spans="1:3" x14ac:dyDescent="0.3">
      <c r="A194" t="s">
        <v>1141</v>
      </c>
      <c r="B194">
        <v>2012</v>
      </c>
      <c r="C194" t="s">
        <v>2580</v>
      </c>
    </row>
    <row r="195" spans="1:3" x14ac:dyDescent="0.3">
      <c r="A195" t="s">
        <v>1143</v>
      </c>
      <c r="B195">
        <v>2012</v>
      </c>
      <c r="C195" t="s">
        <v>2585</v>
      </c>
    </row>
    <row r="196" spans="1:3" x14ac:dyDescent="0.3">
      <c r="A196" t="s">
        <v>1145</v>
      </c>
      <c r="B196">
        <v>2012</v>
      </c>
      <c r="C196" t="s">
        <v>2584</v>
      </c>
    </row>
    <row r="197" spans="1:3" x14ac:dyDescent="0.3">
      <c r="A197" t="s">
        <v>1147</v>
      </c>
      <c r="B197">
        <v>2012</v>
      </c>
      <c r="C197" t="s">
        <v>2582</v>
      </c>
    </row>
    <row r="198" spans="1:3" x14ac:dyDescent="0.3">
      <c r="A198" t="s">
        <v>1149</v>
      </c>
      <c r="B198">
        <v>2012</v>
      </c>
      <c r="C198" t="s">
        <v>2582</v>
      </c>
    </row>
    <row r="199" spans="1:3" x14ac:dyDescent="0.3">
      <c r="A199" t="s">
        <v>1151</v>
      </c>
      <c r="B199">
        <v>2012</v>
      </c>
      <c r="C199" t="s">
        <v>2581</v>
      </c>
    </row>
    <row r="200" spans="1:3" x14ac:dyDescent="0.3">
      <c r="A200" t="s">
        <v>1153</v>
      </c>
      <c r="B200">
        <v>2012</v>
      </c>
      <c r="C200" t="s">
        <v>2582</v>
      </c>
    </row>
    <row r="201" spans="1:3" x14ac:dyDescent="0.3">
      <c r="A201" t="s">
        <v>1155</v>
      </c>
      <c r="B201">
        <v>2012</v>
      </c>
      <c r="C201" t="s">
        <v>2580</v>
      </c>
    </row>
    <row r="202" spans="1:3" x14ac:dyDescent="0.3">
      <c r="A202" t="s">
        <v>1157</v>
      </c>
      <c r="B202">
        <v>2012</v>
      </c>
      <c r="C202" t="s">
        <v>2588</v>
      </c>
    </row>
    <row r="203" spans="1:3" x14ac:dyDescent="0.3">
      <c r="A203" t="s">
        <v>1159</v>
      </c>
      <c r="B203">
        <v>2012</v>
      </c>
      <c r="C203" t="s">
        <v>2581</v>
      </c>
    </row>
    <row r="204" spans="1:3" x14ac:dyDescent="0.3">
      <c r="A204" t="s">
        <v>1161</v>
      </c>
      <c r="B204">
        <v>2012</v>
      </c>
      <c r="C204" t="s">
        <v>2582</v>
      </c>
    </row>
    <row r="205" spans="1:3" x14ac:dyDescent="0.3">
      <c r="A205" t="s">
        <v>1163</v>
      </c>
      <c r="B205">
        <v>2012</v>
      </c>
      <c r="C205" t="s">
        <v>2581</v>
      </c>
    </row>
    <row r="206" spans="1:3" x14ac:dyDescent="0.3">
      <c r="A206" t="s">
        <v>1165</v>
      </c>
      <c r="B206">
        <v>2012</v>
      </c>
      <c r="C206" t="s">
        <v>2581</v>
      </c>
    </row>
    <row r="207" spans="1:3" x14ac:dyDescent="0.3">
      <c r="A207" t="s">
        <v>1167</v>
      </c>
      <c r="B207">
        <v>2012</v>
      </c>
      <c r="C207" t="s">
        <v>2582</v>
      </c>
    </row>
    <row r="208" spans="1:3" x14ac:dyDescent="0.3">
      <c r="A208" t="s">
        <v>1169</v>
      </c>
      <c r="B208">
        <v>2012</v>
      </c>
      <c r="C208" t="s">
        <v>2580</v>
      </c>
    </row>
    <row r="209" spans="1:3" x14ac:dyDescent="0.3">
      <c r="A209" t="s">
        <v>1171</v>
      </c>
      <c r="B209">
        <v>2012</v>
      </c>
      <c r="C209" t="s">
        <v>2582</v>
      </c>
    </row>
    <row r="210" spans="1:3" x14ac:dyDescent="0.3">
      <c r="A210" t="s">
        <v>1173</v>
      </c>
      <c r="B210">
        <v>2012</v>
      </c>
      <c r="C210" t="s">
        <v>2581</v>
      </c>
    </row>
    <row r="211" spans="1:3" x14ac:dyDescent="0.3">
      <c r="A211" t="s">
        <v>1175</v>
      </c>
      <c r="B211">
        <v>2012</v>
      </c>
      <c r="C211" t="s">
        <v>2581</v>
      </c>
    </row>
    <row r="212" spans="1:3" x14ac:dyDescent="0.3">
      <c r="A212" t="s">
        <v>1177</v>
      </c>
      <c r="B212">
        <v>2012</v>
      </c>
      <c r="C212" t="s">
        <v>2582</v>
      </c>
    </row>
    <row r="213" spans="1:3" x14ac:dyDescent="0.3">
      <c r="A213" t="s">
        <v>1179</v>
      </c>
      <c r="B213">
        <v>2012</v>
      </c>
      <c r="C213" t="s">
        <v>2584</v>
      </c>
    </row>
    <row r="214" spans="1:3" x14ac:dyDescent="0.3">
      <c r="A214" t="s">
        <v>1181</v>
      </c>
      <c r="B214">
        <v>2012</v>
      </c>
      <c r="C214" t="s">
        <v>2581</v>
      </c>
    </row>
    <row r="215" spans="1:3" x14ac:dyDescent="0.3">
      <c r="A215" t="s">
        <v>1183</v>
      </c>
      <c r="B215">
        <v>2013</v>
      </c>
      <c r="C215" t="s">
        <v>2582</v>
      </c>
    </row>
    <row r="216" spans="1:3" x14ac:dyDescent="0.3">
      <c r="A216" t="s">
        <v>1185</v>
      </c>
      <c r="B216">
        <v>2013</v>
      </c>
      <c r="C216" t="s">
        <v>2581</v>
      </c>
    </row>
    <row r="217" spans="1:3" x14ac:dyDescent="0.3">
      <c r="A217" t="s">
        <v>1187</v>
      </c>
      <c r="B217">
        <v>2013</v>
      </c>
      <c r="C217" t="s">
        <v>2582</v>
      </c>
    </row>
    <row r="218" spans="1:3" x14ac:dyDescent="0.3">
      <c r="A218" t="s">
        <v>1189</v>
      </c>
      <c r="B218">
        <v>2013</v>
      </c>
      <c r="C218" t="s">
        <v>2581</v>
      </c>
    </row>
    <row r="219" spans="1:3" x14ac:dyDescent="0.3">
      <c r="A219" t="s">
        <v>1191</v>
      </c>
      <c r="B219">
        <v>2013</v>
      </c>
      <c r="C219" t="s">
        <v>2587</v>
      </c>
    </row>
    <row r="220" spans="1:3" x14ac:dyDescent="0.3">
      <c r="A220" t="s">
        <v>1193</v>
      </c>
      <c r="B220">
        <v>2013</v>
      </c>
      <c r="C220" t="s">
        <v>2582</v>
      </c>
    </row>
    <row r="221" spans="1:3" x14ac:dyDescent="0.3">
      <c r="A221" t="s">
        <v>1195</v>
      </c>
      <c r="B221">
        <v>2013</v>
      </c>
      <c r="C221" t="s">
        <v>2585</v>
      </c>
    </row>
    <row r="222" spans="1:3" x14ac:dyDescent="0.3">
      <c r="A222" t="s">
        <v>1197</v>
      </c>
      <c r="B222">
        <v>2013</v>
      </c>
      <c r="C222" t="s">
        <v>2581</v>
      </c>
    </row>
    <row r="223" spans="1:3" x14ac:dyDescent="0.3">
      <c r="A223" t="s">
        <v>1199</v>
      </c>
      <c r="B223">
        <v>2013</v>
      </c>
      <c r="C223" t="s">
        <v>2587</v>
      </c>
    </row>
    <row r="224" spans="1:3" x14ac:dyDescent="0.3">
      <c r="A224" t="s">
        <v>1201</v>
      </c>
      <c r="B224">
        <v>2013</v>
      </c>
      <c r="C224" t="s">
        <v>2581</v>
      </c>
    </row>
    <row r="225" spans="1:3" x14ac:dyDescent="0.3">
      <c r="A225" t="s">
        <v>1203</v>
      </c>
      <c r="B225">
        <v>2013</v>
      </c>
      <c r="C225" t="s">
        <v>2580</v>
      </c>
    </row>
    <row r="226" spans="1:3" x14ac:dyDescent="0.3">
      <c r="A226" t="s">
        <v>2590</v>
      </c>
      <c r="B226">
        <v>2013</v>
      </c>
      <c r="C226" t="s">
        <v>2582</v>
      </c>
    </row>
    <row r="227" spans="1:3" x14ac:dyDescent="0.3">
      <c r="A227" t="s">
        <v>2591</v>
      </c>
      <c r="B227">
        <v>2013</v>
      </c>
      <c r="C227" t="s">
        <v>2582</v>
      </c>
    </row>
    <row r="228" spans="1:3" x14ac:dyDescent="0.3">
      <c r="A228" t="s">
        <v>1229</v>
      </c>
      <c r="B228">
        <v>2014</v>
      </c>
      <c r="C228" t="s">
        <v>2580</v>
      </c>
    </row>
    <row r="229" spans="1:3" x14ac:dyDescent="0.3">
      <c r="A229" t="s">
        <v>1231</v>
      </c>
      <c r="B229">
        <v>2014</v>
      </c>
      <c r="C229" t="s">
        <v>2587</v>
      </c>
    </row>
    <row r="230" spans="1:3" x14ac:dyDescent="0.3">
      <c r="A230" t="s">
        <v>1233</v>
      </c>
      <c r="B230">
        <v>2014</v>
      </c>
      <c r="C230" t="s">
        <v>2581</v>
      </c>
    </row>
    <row r="231" spans="1:3" x14ac:dyDescent="0.3">
      <c r="A231" t="s">
        <v>1235</v>
      </c>
      <c r="B231">
        <v>2014</v>
      </c>
      <c r="C231" t="s">
        <v>2581</v>
      </c>
    </row>
    <row r="232" spans="1:3" x14ac:dyDescent="0.3">
      <c r="A232" t="s">
        <v>1237</v>
      </c>
      <c r="B232">
        <v>2014</v>
      </c>
      <c r="C232" t="s">
        <v>2581</v>
      </c>
    </row>
    <row r="233" spans="1:3" x14ac:dyDescent="0.3">
      <c r="A233" t="s">
        <v>1239</v>
      </c>
      <c r="B233">
        <v>2014</v>
      </c>
      <c r="C233" t="s">
        <v>2582</v>
      </c>
    </row>
    <row r="234" spans="1:3" x14ac:dyDescent="0.3">
      <c r="A234" t="s">
        <v>1241</v>
      </c>
      <c r="B234">
        <v>2014</v>
      </c>
      <c r="C234" t="s">
        <v>2580</v>
      </c>
    </row>
    <row r="235" spans="1:3" x14ac:dyDescent="0.3">
      <c r="A235" t="s">
        <v>1243</v>
      </c>
      <c r="B235">
        <v>2014</v>
      </c>
      <c r="C235" t="s">
        <v>2580</v>
      </c>
    </row>
    <row r="236" spans="1:3" x14ac:dyDescent="0.3">
      <c r="A236" t="s">
        <v>1245</v>
      </c>
      <c r="B236">
        <v>2014</v>
      </c>
      <c r="C236" t="s">
        <v>2584</v>
      </c>
    </row>
    <row r="237" spans="1:3" x14ac:dyDescent="0.3">
      <c r="A237" t="s">
        <v>1247</v>
      </c>
      <c r="B237">
        <v>2014</v>
      </c>
      <c r="C237" t="s">
        <v>2586</v>
      </c>
    </row>
    <row r="238" spans="1:3" x14ac:dyDescent="0.3">
      <c r="A238" t="s">
        <v>1249</v>
      </c>
      <c r="B238">
        <v>2014</v>
      </c>
      <c r="C238" t="s">
        <v>2582</v>
      </c>
    </row>
    <row r="239" spans="1:3" x14ac:dyDescent="0.3">
      <c r="A239" t="s">
        <v>1251</v>
      </c>
      <c r="B239">
        <v>2014</v>
      </c>
      <c r="C239" t="s">
        <v>2582</v>
      </c>
    </row>
    <row r="240" spans="1:3" x14ac:dyDescent="0.3">
      <c r="A240" t="s">
        <v>1253</v>
      </c>
      <c r="B240">
        <v>2014</v>
      </c>
      <c r="C240" t="s">
        <v>2585</v>
      </c>
    </row>
    <row r="241" spans="1:3" x14ac:dyDescent="0.3">
      <c r="A241" t="s">
        <v>1255</v>
      </c>
      <c r="B241">
        <v>2014</v>
      </c>
      <c r="C241" t="s">
        <v>2582</v>
      </c>
    </row>
    <row r="242" spans="1:3" x14ac:dyDescent="0.3">
      <c r="A242" t="s">
        <v>1257</v>
      </c>
      <c r="B242">
        <v>2014</v>
      </c>
      <c r="C242" t="s">
        <v>2581</v>
      </c>
    </row>
    <row r="243" spans="1:3" x14ac:dyDescent="0.3">
      <c r="A243" t="s">
        <v>1259</v>
      </c>
      <c r="B243">
        <v>2014</v>
      </c>
      <c r="C243" t="s">
        <v>2582</v>
      </c>
    </row>
    <row r="244" spans="1:3" x14ac:dyDescent="0.3">
      <c r="A244" t="s">
        <v>1261</v>
      </c>
      <c r="B244">
        <v>2014</v>
      </c>
      <c r="C244" t="s">
        <v>2580</v>
      </c>
    </row>
    <row r="245" spans="1:3" x14ac:dyDescent="0.3">
      <c r="A245" t="s">
        <v>1265</v>
      </c>
      <c r="B245">
        <v>2015</v>
      </c>
      <c r="C245" t="s">
        <v>2582</v>
      </c>
    </row>
    <row r="246" spans="1:3" x14ac:dyDescent="0.3">
      <c r="A246" t="s">
        <v>1267</v>
      </c>
      <c r="B246">
        <v>2015</v>
      </c>
      <c r="C246" t="s">
        <v>2581</v>
      </c>
    </row>
    <row r="247" spans="1:3" x14ac:dyDescent="0.3">
      <c r="A247" t="s">
        <v>1269</v>
      </c>
      <c r="B247">
        <v>2015</v>
      </c>
      <c r="C247" t="s">
        <v>2582</v>
      </c>
    </row>
    <row r="248" spans="1:3" x14ac:dyDescent="0.3">
      <c r="A248" t="s">
        <v>1273</v>
      </c>
      <c r="B248">
        <v>2018</v>
      </c>
      <c r="C248" t="s">
        <v>2592</v>
      </c>
    </row>
    <row r="249" spans="1:3" x14ac:dyDescent="0.3">
      <c r="A249" t="s">
        <v>1275</v>
      </c>
      <c r="B249">
        <v>2018</v>
      </c>
      <c r="C249" t="s">
        <v>2580</v>
      </c>
    </row>
    <row r="250" spans="1:3" x14ac:dyDescent="0.3">
      <c r="A250" t="s">
        <v>1277</v>
      </c>
      <c r="B250">
        <v>2018</v>
      </c>
      <c r="C250" t="s">
        <v>2580</v>
      </c>
    </row>
    <row r="251" spans="1:3" x14ac:dyDescent="0.3">
      <c r="A251" t="s">
        <v>1279</v>
      </c>
      <c r="B251">
        <v>2018</v>
      </c>
      <c r="C251" t="s">
        <v>2582</v>
      </c>
    </row>
    <row r="252" spans="1:3" x14ac:dyDescent="0.3">
      <c r="A252" t="s">
        <v>1281</v>
      </c>
      <c r="B252">
        <v>2019</v>
      </c>
      <c r="C252" t="s">
        <v>2581</v>
      </c>
    </row>
    <row r="253" spans="1:3" x14ac:dyDescent="0.3">
      <c r="A253" t="s">
        <v>1283</v>
      </c>
      <c r="B253">
        <v>2019</v>
      </c>
      <c r="C253" t="s">
        <v>2581</v>
      </c>
    </row>
    <row r="254" spans="1:3" x14ac:dyDescent="0.3">
      <c r="A254" t="s">
        <v>1285</v>
      </c>
      <c r="B254">
        <v>2020</v>
      </c>
      <c r="C254" t="s">
        <v>2581</v>
      </c>
    </row>
    <row r="255" spans="1:3" x14ac:dyDescent="0.3">
      <c r="A255" t="s">
        <v>1287</v>
      </c>
      <c r="B255">
        <v>2021</v>
      </c>
      <c r="C255" t="s">
        <v>2583</v>
      </c>
    </row>
    <row r="256" spans="1:3" x14ac:dyDescent="0.3">
      <c r="A256" t="s">
        <v>1289</v>
      </c>
      <c r="B256">
        <v>2021</v>
      </c>
      <c r="C256" t="s">
        <v>2581</v>
      </c>
    </row>
    <row r="257" spans="1:3" x14ac:dyDescent="0.3">
      <c r="A257" t="s">
        <v>1291</v>
      </c>
      <c r="B257">
        <v>2021</v>
      </c>
      <c r="C257" t="s">
        <v>2581</v>
      </c>
    </row>
    <row r="258" spans="1:3" x14ac:dyDescent="0.3">
      <c r="A258" t="s">
        <v>1293</v>
      </c>
      <c r="B258">
        <v>2021</v>
      </c>
      <c r="C258" t="s">
        <v>2583</v>
      </c>
    </row>
    <row r="259" spans="1:3" x14ac:dyDescent="0.3">
      <c r="A259" t="s">
        <v>1295</v>
      </c>
      <c r="B259">
        <v>2021</v>
      </c>
      <c r="C259" t="s">
        <v>2585</v>
      </c>
    </row>
    <row r="260" spans="1:3" x14ac:dyDescent="0.3">
      <c r="A260" t="s">
        <v>1297</v>
      </c>
      <c r="B260">
        <v>2021</v>
      </c>
      <c r="C260" t="s">
        <v>2581</v>
      </c>
    </row>
    <row r="261" spans="1:3" x14ac:dyDescent="0.3">
      <c r="A261" t="s">
        <v>1299</v>
      </c>
      <c r="B261">
        <v>2021</v>
      </c>
      <c r="C261" t="s">
        <v>2581</v>
      </c>
    </row>
    <row r="262" spans="1:3" x14ac:dyDescent="0.3">
      <c r="A262" t="s">
        <v>1301</v>
      </c>
      <c r="B262">
        <v>2021</v>
      </c>
      <c r="C262" t="s">
        <v>2581</v>
      </c>
    </row>
    <row r="263" spans="1:3" x14ac:dyDescent="0.3">
      <c r="A263" t="s">
        <v>1303</v>
      </c>
      <c r="B263">
        <v>2021</v>
      </c>
      <c r="C263" t="s">
        <v>2581</v>
      </c>
    </row>
    <row r="264" spans="1:3" x14ac:dyDescent="0.3">
      <c r="A264" t="s">
        <v>1305</v>
      </c>
      <c r="B264">
        <v>2021</v>
      </c>
      <c r="C264" t="s">
        <v>2581</v>
      </c>
    </row>
    <row r="265" spans="1:3" x14ac:dyDescent="0.3">
      <c r="A265" t="s">
        <v>1307</v>
      </c>
      <c r="B265">
        <v>2021</v>
      </c>
      <c r="C265" t="s">
        <v>2581</v>
      </c>
    </row>
    <row r="266" spans="1:3" x14ac:dyDescent="0.3">
      <c r="A266" t="s">
        <v>1309</v>
      </c>
      <c r="B266">
        <v>2021</v>
      </c>
      <c r="C266" t="s">
        <v>2582</v>
      </c>
    </row>
    <row r="267" spans="1:3" x14ac:dyDescent="0.3">
      <c r="A267" t="s">
        <v>1311</v>
      </c>
      <c r="B267">
        <v>2021</v>
      </c>
      <c r="C267" t="s">
        <v>2586</v>
      </c>
    </row>
    <row r="268" spans="1:3" x14ac:dyDescent="0.3">
      <c r="A268" t="s">
        <v>1313</v>
      </c>
      <c r="B268">
        <v>2021</v>
      </c>
      <c r="C268" t="s">
        <v>2581</v>
      </c>
    </row>
    <row r="269" spans="1:3" x14ac:dyDescent="0.3">
      <c r="A269" t="s">
        <v>1315</v>
      </c>
      <c r="B269">
        <v>2021</v>
      </c>
      <c r="C269" t="s">
        <v>2581</v>
      </c>
    </row>
    <row r="270" spans="1:3" x14ac:dyDescent="0.3">
      <c r="A270" t="s">
        <v>1317</v>
      </c>
      <c r="B270">
        <v>2021</v>
      </c>
      <c r="C270" t="s">
        <v>2581</v>
      </c>
    </row>
    <row r="271" spans="1:3" x14ac:dyDescent="0.3">
      <c r="A271" t="s">
        <v>1319</v>
      </c>
      <c r="B271">
        <v>2021</v>
      </c>
      <c r="C271" t="s">
        <v>2580</v>
      </c>
    </row>
    <row r="272" spans="1:3" x14ac:dyDescent="0.3">
      <c r="A272" t="s">
        <v>1321</v>
      </c>
      <c r="B272">
        <v>2021</v>
      </c>
      <c r="C272" t="s">
        <v>2581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1F9C-DAF5-472B-9AC1-D76E2F58FD6D}">
  <dimension ref="A1:B1282"/>
  <sheetViews>
    <sheetView workbookViewId="0">
      <selection activeCell="E20" sqref="E20"/>
    </sheetView>
  </sheetViews>
  <sheetFormatPr defaultRowHeight="14.4" x14ac:dyDescent="0.3"/>
  <cols>
    <col min="1" max="1" width="10.109375" customWidth="1"/>
    <col min="2" max="2" width="26" bestFit="1" customWidth="1"/>
  </cols>
  <sheetData>
    <row r="1" spans="1:2" x14ac:dyDescent="0.3">
      <c r="A1" t="s">
        <v>7</v>
      </c>
      <c r="B1" t="s">
        <v>6</v>
      </c>
    </row>
    <row r="2" spans="1:2" x14ac:dyDescent="0.3">
      <c r="A2" t="s">
        <v>18</v>
      </c>
      <c r="B2" t="s">
        <v>19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 t="s">
        <v>23</v>
      </c>
    </row>
    <row r="5" spans="1:2" x14ac:dyDescent="0.3">
      <c r="A5" t="s">
        <v>24</v>
      </c>
      <c r="B5" t="s">
        <v>25</v>
      </c>
    </row>
    <row r="6" spans="1:2" x14ac:dyDescent="0.3">
      <c r="A6" t="s">
        <v>26</v>
      </c>
      <c r="B6" t="s">
        <v>27</v>
      </c>
    </row>
    <row r="7" spans="1:2" x14ac:dyDescent="0.3">
      <c r="A7" t="s">
        <v>28</v>
      </c>
      <c r="B7" t="s">
        <v>29</v>
      </c>
    </row>
    <row r="8" spans="1:2" x14ac:dyDescent="0.3">
      <c r="A8" t="s">
        <v>30</v>
      </c>
      <c r="B8" t="s">
        <v>31</v>
      </c>
    </row>
    <row r="9" spans="1:2" x14ac:dyDescent="0.3">
      <c r="A9" t="s">
        <v>32</v>
      </c>
      <c r="B9" t="s">
        <v>33</v>
      </c>
    </row>
    <row r="10" spans="1:2" x14ac:dyDescent="0.3">
      <c r="A10" t="s">
        <v>34</v>
      </c>
      <c r="B10" t="s">
        <v>35</v>
      </c>
    </row>
    <row r="11" spans="1:2" x14ac:dyDescent="0.3">
      <c r="A11" t="s">
        <v>36</v>
      </c>
      <c r="B11" t="s">
        <v>37</v>
      </c>
    </row>
    <row r="12" spans="1:2" x14ac:dyDescent="0.3">
      <c r="A12" t="s">
        <v>38</v>
      </c>
      <c r="B12" t="s">
        <v>39</v>
      </c>
    </row>
    <row r="13" spans="1:2" x14ac:dyDescent="0.3">
      <c r="A13" t="s">
        <v>40</v>
      </c>
      <c r="B13" t="s">
        <v>41</v>
      </c>
    </row>
    <row r="14" spans="1:2" x14ac:dyDescent="0.3">
      <c r="A14" t="s">
        <v>42</v>
      </c>
      <c r="B14" t="s">
        <v>43</v>
      </c>
    </row>
    <row r="15" spans="1:2" x14ac:dyDescent="0.3">
      <c r="A15" t="s">
        <v>44</v>
      </c>
      <c r="B15" t="s">
        <v>45</v>
      </c>
    </row>
    <row r="16" spans="1:2" x14ac:dyDescent="0.3">
      <c r="A16" t="s">
        <v>46</v>
      </c>
      <c r="B16" t="s">
        <v>47</v>
      </c>
    </row>
    <row r="17" spans="1:2" x14ac:dyDescent="0.3">
      <c r="A17" t="s">
        <v>48</v>
      </c>
      <c r="B17" t="s">
        <v>49</v>
      </c>
    </row>
    <row r="18" spans="1:2" x14ac:dyDescent="0.3">
      <c r="A18" t="s">
        <v>50</v>
      </c>
      <c r="B18" t="s">
        <v>51</v>
      </c>
    </row>
    <row r="19" spans="1:2" x14ac:dyDescent="0.3">
      <c r="A19" t="s">
        <v>52</v>
      </c>
      <c r="B19" t="s">
        <v>53</v>
      </c>
    </row>
    <row r="20" spans="1:2" x14ac:dyDescent="0.3">
      <c r="A20" t="s">
        <v>54</v>
      </c>
      <c r="B20" t="s">
        <v>55</v>
      </c>
    </row>
    <row r="21" spans="1:2" x14ac:dyDescent="0.3">
      <c r="A21" t="s">
        <v>56</v>
      </c>
      <c r="B21" t="s">
        <v>57</v>
      </c>
    </row>
    <row r="22" spans="1:2" x14ac:dyDescent="0.3">
      <c r="A22" t="s">
        <v>58</v>
      </c>
      <c r="B22" t="s">
        <v>59</v>
      </c>
    </row>
    <row r="23" spans="1:2" x14ac:dyDescent="0.3">
      <c r="A23" t="s">
        <v>60</v>
      </c>
      <c r="B23" t="s">
        <v>61</v>
      </c>
    </row>
    <row r="24" spans="1:2" x14ac:dyDescent="0.3">
      <c r="A24" t="s">
        <v>62</v>
      </c>
      <c r="B24" t="s">
        <v>63</v>
      </c>
    </row>
    <row r="25" spans="1:2" x14ac:dyDescent="0.3">
      <c r="A25" t="s">
        <v>64</v>
      </c>
      <c r="B25" t="s">
        <v>65</v>
      </c>
    </row>
    <row r="26" spans="1:2" x14ac:dyDescent="0.3">
      <c r="A26" t="s">
        <v>0</v>
      </c>
      <c r="B26" t="s">
        <v>66</v>
      </c>
    </row>
    <row r="27" spans="1:2" x14ac:dyDescent="0.3">
      <c r="A27" t="s">
        <v>1</v>
      </c>
      <c r="B27" t="s">
        <v>67</v>
      </c>
    </row>
    <row r="28" spans="1:2" x14ac:dyDescent="0.3">
      <c r="A28" t="s">
        <v>2</v>
      </c>
      <c r="B28" t="s">
        <v>68</v>
      </c>
    </row>
    <row r="29" spans="1:2" x14ac:dyDescent="0.3">
      <c r="A29" t="s">
        <v>3</v>
      </c>
      <c r="B29" t="s">
        <v>69</v>
      </c>
    </row>
    <row r="30" spans="1:2" x14ac:dyDescent="0.3">
      <c r="A30" t="s">
        <v>4</v>
      </c>
      <c r="B30" t="s">
        <v>70</v>
      </c>
    </row>
    <row r="31" spans="1:2" x14ac:dyDescent="0.3">
      <c r="A31" t="s">
        <v>5</v>
      </c>
      <c r="B31" t="s">
        <v>71</v>
      </c>
    </row>
    <row r="32" spans="1:2" x14ac:dyDescent="0.3">
      <c r="A32" t="s">
        <v>11</v>
      </c>
      <c r="B32" t="s">
        <v>72</v>
      </c>
    </row>
    <row r="33" spans="1:2" x14ac:dyDescent="0.3">
      <c r="A33" t="s">
        <v>12</v>
      </c>
      <c r="B33" t="s">
        <v>73</v>
      </c>
    </row>
    <row r="34" spans="1:2" x14ac:dyDescent="0.3">
      <c r="A34" t="s">
        <v>13</v>
      </c>
      <c r="B34" t="s">
        <v>74</v>
      </c>
    </row>
    <row r="35" spans="1:2" x14ac:dyDescent="0.3">
      <c r="A35" t="s">
        <v>14</v>
      </c>
      <c r="B35" t="s">
        <v>75</v>
      </c>
    </row>
    <row r="36" spans="1:2" x14ac:dyDescent="0.3">
      <c r="A36" t="s">
        <v>15</v>
      </c>
      <c r="B36" t="s">
        <v>76</v>
      </c>
    </row>
    <row r="37" spans="1:2" x14ac:dyDescent="0.3">
      <c r="A37" t="s">
        <v>16</v>
      </c>
      <c r="B37" t="s">
        <v>77</v>
      </c>
    </row>
    <row r="38" spans="1:2" x14ac:dyDescent="0.3">
      <c r="A38" t="s">
        <v>78</v>
      </c>
      <c r="B38" t="s">
        <v>79</v>
      </c>
    </row>
    <row r="39" spans="1:2" x14ac:dyDescent="0.3">
      <c r="A39" t="s">
        <v>80</v>
      </c>
      <c r="B39" t="s">
        <v>81</v>
      </c>
    </row>
    <row r="40" spans="1:2" x14ac:dyDescent="0.3">
      <c r="A40" t="s">
        <v>82</v>
      </c>
      <c r="B40" t="s">
        <v>83</v>
      </c>
    </row>
    <row r="41" spans="1:2" x14ac:dyDescent="0.3">
      <c r="A41" t="s">
        <v>84</v>
      </c>
      <c r="B41" t="s">
        <v>85</v>
      </c>
    </row>
    <row r="42" spans="1:2" x14ac:dyDescent="0.3">
      <c r="A42" t="s">
        <v>86</v>
      </c>
      <c r="B42" t="s">
        <v>87</v>
      </c>
    </row>
    <row r="43" spans="1:2" x14ac:dyDescent="0.3">
      <c r="A43" t="s">
        <v>88</v>
      </c>
      <c r="B43" t="s">
        <v>89</v>
      </c>
    </row>
    <row r="44" spans="1:2" x14ac:dyDescent="0.3">
      <c r="A44" t="s">
        <v>90</v>
      </c>
      <c r="B44" t="s">
        <v>91</v>
      </c>
    </row>
    <row r="45" spans="1:2" x14ac:dyDescent="0.3">
      <c r="A45" t="s">
        <v>92</v>
      </c>
      <c r="B45" t="s">
        <v>93</v>
      </c>
    </row>
    <row r="46" spans="1:2" x14ac:dyDescent="0.3">
      <c r="A46" t="s">
        <v>94</v>
      </c>
      <c r="B46" t="s">
        <v>95</v>
      </c>
    </row>
    <row r="47" spans="1:2" x14ac:dyDescent="0.3">
      <c r="A47" t="s">
        <v>96</v>
      </c>
      <c r="B47" t="s">
        <v>97</v>
      </c>
    </row>
    <row r="48" spans="1:2" x14ac:dyDescent="0.3">
      <c r="A48" t="s">
        <v>98</v>
      </c>
      <c r="B48" t="s">
        <v>99</v>
      </c>
    </row>
    <row r="49" spans="1:2" x14ac:dyDescent="0.3">
      <c r="A49" t="s">
        <v>100</v>
      </c>
      <c r="B49" t="s">
        <v>101</v>
      </c>
    </row>
    <row r="50" spans="1:2" x14ac:dyDescent="0.3">
      <c r="A50" t="s">
        <v>102</v>
      </c>
      <c r="B50" t="s">
        <v>103</v>
      </c>
    </row>
    <row r="51" spans="1:2" x14ac:dyDescent="0.3">
      <c r="A51" t="s">
        <v>104</v>
      </c>
      <c r="B51" t="s">
        <v>105</v>
      </c>
    </row>
    <row r="52" spans="1:2" x14ac:dyDescent="0.3">
      <c r="A52" t="s">
        <v>106</v>
      </c>
      <c r="B52" t="s">
        <v>107</v>
      </c>
    </row>
    <row r="53" spans="1:2" x14ac:dyDescent="0.3">
      <c r="A53" t="s">
        <v>108</v>
      </c>
      <c r="B53" t="s">
        <v>109</v>
      </c>
    </row>
    <row r="54" spans="1:2" x14ac:dyDescent="0.3">
      <c r="A54" t="s">
        <v>110</v>
      </c>
      <c r="B54" t="s">
        <v>111</v>
      </c>
    </row>
    <row r="55" spans="1:2" x14ac:dyDescent="0.3">
      <c r="A55" t="s">
        <v>112</v>
      </c>
      <c r="B55" t="s">
        <v>113</v>
      </c>
    </row>
    <row r="56" spans="1:2" x14ac:dyDescent="0.3">
      <c r="A56" t="s">
        <v>114</v>
      </c>
      <c r="B56" t="s">
        <v>115</v>
      </c>
    </row>
    <row r="57" spans="1:2" x14ac:dyDescent="0.3">
      <c r="A57" t="s">
        <v>116</v>
      </c>
      <c r="B57" t="s">
        <v>117</v>
      </c>
    </row>
    <row r="58" spans="1:2" x14ac:dyDescent="0.3">
      <c r="A58" t="s">
        <v>118</v>
      </c>
      <c r="B58" t="s">
        <v>119</v>
      </c>
    </row>
    <row r="59" spans="1:2" x14ac:dyDescent="0.3">
      <c r="A59" t="s">
        <v>120</v>
      </c>
      <c r="B59" t="s">
        <v>121</v>
      </c>
    </row>
    <row r="60" spans="1:2" x14ac:dyDescent="0.3">
      <c r="A60" t="s">
        <v>122</v>
      </c>
      <c r="B60" t="s">
        <v>123</v>
      </c>
    </row>
    <row r="61" spans="1:2" x14ac:dyDescent="0.3">
      <c r="A61" t="s">
        <v>124</v>
      </c>
      <c r="B61" t="s">
        <v>125</v>
      </c>
    </row>
    <row r="62" spans="1:2" x14ac:dyDescent="0.3">
      <c r="A62" t="s">
        <v>126</v>
      </c>
      <c r="B62" t="s">
        <v>127</v>
      </c>
    </row>
    <row r="63" spans="1:2" x14ac:dyDescent="0.3">
      <c r="A63" t="s">
        <v>128</v>
      </c>
      <c r="B63" t="s">
        <v>129</v>
      </c>
    </row>
    <row r="64" spans="1:2" x14ac:dyDescent="0.3">
      <c r="A64" t="s">
        <v>130</v>
      </c>
      <c r="B64" t="s">
        <v>131</v>
      </c>
    </row>
    <row r="65" spans="1:2" x14ac:dyDescent="0.3">
      <c r="A65" t="s">
        <v>132</v>
      </c>
      <c r="B65" t="s">
        <v>133</v>
      </c>
    </row>
    <row r="66" spans="1:2" x14ac:dyDescent="0.3">
      <c r="A66" t="s">
        <v>134</v>
      </c>
      <c r="B66" t="s">
        <v>135</v>
      </c>
    </row>
    <row r="67" spans="1:2" x14ac:dyDescent="0.3">
      <c r="A67" t="s">
        <v>136</v>
      </c>
      <c r="B67" t="s">
        <v>137</v>
      </c>
    </row>
    <row r="68" spans="1:2" x14ac:dyDescent="0.3">
      <c r="A68" t="s">
        <v>138</v>
      </c>
      <c r="B68" t="s">
        <v>139</v>
      </c>
    </row>
    <row r="69" spans="1:2" x14ac:dyDescent="0.3">
      <c r="A69" t="s">
        <v>140</v>
      </c>
      <c r="B69" t="s">
        <v>141</v>
      </c>
    </row>
    <row r="70" spans="1:2" x14ac:dyDescent="0.3">
      <c r="A70" t="s">
        <v>142</v>
      </c>
      <c r="B70" t="s">
        <v>143</v>
      </c>
    </row>
    <row r="71" spans="1:2" x14ac:dyDescent="0.3">
      <c r="A71" t="s">
        <v>144</v>
      </c>
      <c r="B71" t="s">
        <v>145</v>
      </c>
    </row>
    <row r="72" spans="1:2" x14ac:dyDescent="0.3">
      <c r="A72" t="s">
        <v>146</v>
      </c>
      <c r="B72" t="s">
        <v>147</v>
      </c>
    </row>
    <row r="73" spans="1:2" x14ac:dyDescent="0.3">
      <c r="A73" t="s">
        <v>148</v>
      </c>
      <c r="B73" t="s">
        <v>149</v>
      </c>
    </row>
    <row r="74" spans="1:2" x14ac:dyDescent="0.3">
      <c r="A74" t="s">
        <v>150</v>
      </c>
      <c r="B74" t="s">
        <v>151</v>
      </c>
    </row>
    <row r="75" spans="1:2" x14ac:dyDescent="0.3">
      <c r="A75" t="s">
        <v>152</v>
      </c>
      <c r="B75" t="s">
        <v>153</v>
      </c>
    </row>
    <row r="76" spans="1:2" x14ac:dyDescent="0.3">
      <c r="A76" t="s">
        <v>154</v>
      </c>
      <c r="B76" t="s">
        <v>155</v>
      </c>
    </row>
    <row r="77" spans="1:2" x14ac:dyDescent="0.3">
      <c r="A77" t="s">
        <v>156</v>
      </c>
      <c r="B77" t="s">
        <v>157</v>
      </c>
    </row>
    <row r="78" spans="1:2" x14ac:dyDescent="0.3">
      <c r="A78" t="s">
        <v>158</v>
      </c>
      <c r="B78" t="s">
        <v>159</v>
      </c>
    </row>
    <row r="79" spans="1:2" x14ac:dyDescent="0.3">
      <c r="A79" t="s">
        <v>160</v>
      </c>
      <c r="B79" t="s">
        <v>161</v>
      </c>
    </row>
    <row r="80" spans="1:2" x14ac:dyDescent="0.3">
      <c r="A80" t="s">
        <v>162</v>
      </c>
      <c r="B80" t="s">
        <v>163</v>
      </c>
    </row>
    <row r="81" spans="1:2" x14ac:dyDescent="0.3">
      <c r="A81" t="s">
        <v>164</v>
      </c>
      <c r="B81" t="s">
        <v>165</v>
      </c>
    </row>
    <row r="82" spans="1:2" x14ac:dyDescent="0.3">
      <c r="A82" t="s">
        <v>166</v>
      </c>
      <c r="B82" t="s">
        <v>167</v>
      </c>
    </row>
    <row r="83" spans="1:2" x14ac:dyDescent="0.3">
      <c r="A83" t="s">
        <v>168</v>
      </c>
      <c r="B83" t="s">
        <v>169</v>
      </c>
    </row>
    <row r="84" spans="1:2" x14ac:dyDescent="0.3">
      <c r="A84" t="s">
        <v>170</v>
      </c>
      <c r="B84" t="s">
        <v>171</v>
      </c>
    </row>
    <row r="85" spans="1:2" x14ac:dyDescent="0.3">
      <c r="A85" t="s">
        <v>172</v>
      </c>
      <c r="B85" t="s">
        <v>173</v>
      </c>
    </row>
    <row r="86" spans="1:2" x14ac:dyDescent="0.3">
      <c r="A86" t="s">
        <v>174</v>
      </c>
      <c r="B86" t="s">
        <v>175</v>
      </c>
    </row>
    <row r="87" spans="1:2" x14ac:dyDescent="0.3">
      <c r="A87" t="s">
        <v>176</v>
      </c>
      <c r="B87" t="s">
        <v>177</v>
      </c>
    </row>
    <row r="88" spans="1:2" x14ac:dyDescent="0.3">
      <c r="A88" t="s">
        <v>178</v>
      </c>
      <c r="B88" t="s">
        <v>179</v>
      </c>
    </row>
    <row r="89" spans="1:2" x14ac:dyDescent="0.3">
      <c r="A89" t="s">
        <v>180</v>
      </c>
      <c r="B89" t="s">
        <v>181</v>
      </c>
    </row>
    <row r="90" spans="1:2" x14ac:dyDescent="0.3">
      <c r="A90" t="s">
        <v>182</v>
      </c>
      <c r="B90" t="s">
        <v>183</v>
      </c>
    </row>
    <row r="91" spans="1:2" x14ac:dyDescent="0.3">
      <c r="A91" t="s">
        <v>184</v>
      </c>
      <c r="B91" t="s">
        <v>185</v>
      </c>
    </row>
    <row r="92" spans="1:2" x14ac:dyDescent="0.3">
      <c r="A92" t="s">
        <v>186</v>
      </c>
      <c r="B92" t="s">
        <v>187</v>
      </c>
    </row>
    <row r="93" spans="1:2" x14ac:dyDescent="0.3">
      <c r="A93" t="s">
        <v>188</v>
      </c>
      <c r="B93" t="s">
        <v>189</v>
      </c>
    </row>
    <row r="94" spans="1:2" x14ac:dyDescent="0.3">
      <c r="A94" t="s">
        <v>190</v>
      </c>
      <c r="B94" t="s">
        <v>191</v>
      </c>
    </row>
    <row r="95" spans="1:2" x14ac:dyDescent="0.3">
      <c r="A95" t="s">
        <v>192</v>
      </c>
      <c r="B95" t="s">
        <v>193</v>
      </c>
    </row>
    <row r="96" spans="1:2" x14ac:dyDescent="0.3">
      <c r="A96" t="s">
        <v>194</v>
      </c>
      <c r="B96" t="s">
        <v>195</v>
      </c>
    </row>
    <row r="97" spans="1:2" x14ac:dyDescent="0.3">
      <c r="A97" t="s">
        <v>196</v>
      </c>
      <c r="B97" t="s">
        <v>197</v>
      </c>
    </row>
    <row r="98" spans="1:2" x14ac:dyDescent="0.3">
      <c r="A98" t="s">
        <v>198</v>
      </c>
      <c r="B98" t="s">
        <v>199</v>
      </c>
    </row>
    <row r="99" spans="1:2" x14ac:dyDescent="0.3">
      <c r="A99" t="s">
        <v>200</v>
      </c>
      <c r="B99" t="s">
        <v>201</v>
      </c>
    </row>
    <row r="100" spans="1:2" x14ac:dyDescent="0.3">
      <c r="A100" t="s">
        <v>202</v>
      </c>
      <c r="B100" t="s">
        <v>203</v>
      </c>
    </row>
    <row r="101" spans="1:2" x14ac:dyDescent="0.3">
      <c r="A101" t="s">
        <v>204</v>
      </c>
      <c r="B101" t="s">
        <v>205</v>
      </c>
    </row>
    <row r="102" spans="1:2" x14ac:dyDescent="0.3">
      <c r="A102" t="s">
        <v>206</v>
      </c>
      <c r="B102" t="s">
        <v>207</v>
      </c>
    </row>
    <row r="103" spans="1:2" x14ac:dyDescent="0.3">
      <c r="A103" t="s">
        <v>208</v>
      </c>
      <c r="B103" t="s">
        <v>209</v>
      </c>
    </row>
    <row r="104" spans="1:2" x14ac:dyDescent="0.3">
      <c r="A104" t="s">
        <v>210</v>
      </c>
      <c r="B104" t="s">
        <v>211</v>
      </c>
    </row>
    <row r="105" spans="1:2" x14ac:dyDescent="0.3">
      <c r="A105" t="s">
        <v>212</v>
      </c>
      <c r="B105" t="s">
        <v>213</v>
      </c>
    </row>
    <row r="106" spans="1:2" x14ac:dyDescent="0.3">
      <c r="A106" t="s">
        <v>214</v>
      </c>
      <c r="B106" t="s">
        <v>215</v>
      </c>
    </row>
    <row r="107" spans="1:2" x14ac:dyDescent="0.3">
      <c r="A107" t="s">
        <v>216</v>
      </c>
      <c r="B107" t="s">
        <v>217</v>
      </c>
    </row>
    <row r="108" spans="1:2" x14ac:dyDescent="0.3">
      <c r="A108" t="s">
        <v>218</v>
      </c>
      <c r="B108" t="s">
        <v>219</v>
      </c>
    </row>
    <row r="109" spans="1:2" x14ac:dyDescent="0.3">
      <c r="A109" t="s">
        <v>220</v>
      </c>
      <c r="B109" t="s">
        <v>221</v>
      </c>
    </row>
    <row r="110" spans="1:2" x14ac:dyDescent="0.3">
      <c r="A110" t="s">
        <v>222</v>
      </c>
      <c r="B110" t="s">
        <v>223</v>
      </c>
    </row>
    <row r="111" spans="1:2" x14ac:dyDescent="0.3">
      <c r="A111" t="s">
        <v>224</v>
      </c>
      <c r="B111" t="s">
        <v>225</v>
      </c>
    </row>
    <row r="112" spans="1:2" x14ac:dyDescent="0.3">
      <c r="A112" t="s">
        <v>226</v>
      </c>
      <c r="B112" t="s">
        <v>227</v>
      </c>
    </row>
    <row r="113" spans="1:2" x14ac:dyDescent="0.3">
      <c r="A113" t="s">
        <v>228</v>
      </c>
      <c r="B113" t="s">
        <v>229</v>
      </c>
    </row>
    <row r="114" spans="1:2" x14ac:dyDescent="0.3">
      <c r="A114" t="s">
        <v>230</v>
      </c>
      <c r="B114" t="s">
        <v>231</v>
      </c>
    </row>
    <row r="115" spans="1:2" x14ac:dyDescent="0.3">
      <c r="A115" t="s">
        <v>232</v>
      </c>
      <c r="B115" t="s">
        <v>233</v>
      </c>
    </row>
    <row r="116" spans="1:2" x14ac:dyDescent="0.3">
      <c r="A116" t="s">
        <v>234</v>
      </c>
      <c r="B116" t="s">
        <v>235</v>
      </c>
    </row>
    <row r="117" spans="1:2" x14ac:dyDescent="0.3">
      <c r="A117" t="s">
        <v>236</v>
      </c>
      <c r="B117" t="s">
        <v>237</v>
      </c>
    </row>
    <row r="118" spans="1:2" x14ac:dyDescent="0.3">
      <c r="A118" t="s">
        <v>238</v>
      </c>
      <c r="B118" t="s">
        <v>239</v>
      </c>
    </row>
    <row r="119" spans="1:2" x14ac:dyDescent="0.3">
      <c r="A119" t="s">
        <v>240</v>
      </c>
      <c r="B119" t="s">
        <v>241</v>
      </c>
    </row>
    <row r="120" spans="1:2" x14ac:dyDescent="0.3">
      <c r="A120" t="s">
        <v>242</v>
      </c>
      <c r="B120" t="s">
        <v>243</v>
      </c>
    </row>
    <row r="121" spans="1:2" x14ac:dyDescent="0.3">
      <c r="A121" t="s">
        <v>244</v>
      </c>
      <c r="B121" t="s">
        <v>245</v>
      </c>
    </row>
    <row r="122" spans="1:2" x14ac:dyDescent="0.3">
      <c r="A122" t="s">
        <v>246</v>
      </c>
      <c r="B122" t="s">
        <v>247</v>
      </c>
    </row>
    <row r="123" spans="1:2" x14ac:dyDescent="0.3">
      <c r="A123" t="s">
        <v>248</v>
      </c>
      <c r="B123" t="s">
        <v>249</v>
      </c>
    </row>
    <row r="124" spans="1:2" x14ac:dyDescent="0.3">
      <c r="A124" t="s">
        <v>250</v>
      </c>
      <c r="B124" t="s">
        <v>251</v>
      </c>
    </row>
    <row r="125" spans="1:2" x14ac:dyDescent="0.3">
      <c r="A125" t="s">
        <v>252</v>
      </c>
      <c r="B125" t="s">
        <v>253</v>
      </c>
    </row>
    <row r="126" spans="1:2" x14ac:dyDescent="0.3">
      <c r="A126" t="s">
        <v>254</v>
      </c>
      <c r="B126" t="s">
        <v>255</v>
      </c>
    </row>
    <row r="127" spans="1:2" x14ac:dyDescent="0.3">
      <c r="A127" t="s">
        <v>256</v>
      </c>
      <c r="B127" t="s">
        <v>257</v>
      </c>
    </row>
    <row r="128" spans="1:2" x14ac:dyDescent="0.3">
      <c r="A128" t="s">
        <v>258</v>
      </c>
      <c r="B128" t="s">
        <v>259</v>
      </c>
    </row>
    <row r="129" spans="1:2" x14ac:dyDescent="0.3">
      <c r="A129" t="s">
        <v>260</v>
      </c>
      <c r="B129" t="s">
        <v>261</v>
      </c>
    </row>
    <row r="130" spans="1:2" x14ac:dyDescent="0.3">
      <c r="A130" t="s">
        <v>262</v>
      </c>
      <c r="B130" t="s">
        <v>263</v>
      </c>
    </row>
    <row r="131" spans="1:2" x14ac:dyDescent="0.3">
      <c r="A131" t="s">
        <v>264</v>
      </c>
      <c r="B131" t="s">
        <v>265</v>
      </c>
    </row>
    <row r="132" spans="1:2" x14ac:dyDescent="0.3">
      <c r="A132" t="s">
        <v>266</v>
      </c>
      <c r="B132" t="s">
        <v>267</v>
      </c>
    </row>
    <row r="133" spans="1:2" x14ac:dyDescent="0.3">
      <c r="A133" t="s">
        <v>268</v>
      </c>
      <c r="B133" t="s">
        <v>269</v>
      </c>
    </row>
    <row r="134" spans="1:2" x14ac:dyDescent="0.3">
      <c r="A134" t="s">
        <v>270</v>
      </c>
      <c r="B134" t="s">
        <v>271</v>
      </c>
    </row>
    <row r="135" spans="1:2" x14ac:dyDescent="0.3">
      <c r="A135" t="s">
        <v>272</v>
      </c>
      <c r="B135" t="s">
        <v>273</v>
      </c>
    </row>
    <row r="136" spans="1:2" x14ac:dyDescent="0.3">
      <c r="A136" t="s">
        <v>274</v>
      </c>
      <c r="B136" t="s">
        <v>275</v>
      </c>
    </row>
    <row r="137" spans="1:2" x14ac:dyDescent="0.3">
      <c r="A137" t="s">
        <v>276</v>
      </c>
      <c r="B137" t="s">
        <v>277</v>
      </c>
    </row>
    <row r="138" spans="1:2" x14ac:dyDescent="0.3">
      <c r="A138" t="s">
        <v>278</v>
      </c>
      <c r="B138" t="s">
        <v>279</v>
      </c>
    </row>
    <row r="139" spans="1:2" x14ac:dyDescent="0.3">
      <c r="A139" t="s">
        <v>280</v>
      </c>
      <c r="B139" t="s">
        <v>281</v>
      </c>
    </row>
    <row r="140" spans="1:2" x14ac:dyDescent="0.3">
      <c r="A140" t="s">
        <v>282</v>
      </c>
      <c r="B140" t="s">
        <v>283</v>
      </c>
    </row>
    <row r="141" spans="1:2" x14ac:dyDescent="0.3">
      <c r="A141" t="s">
        <v>284</v>
      </c>
      <c r="B141" t="s">
        <v>285</v>
      </c>
    </row>
    <row r="142" spans="1:2" x14ac:dyDescent="0.3">
      <c r="A142" t="s">
        <v>286</v>
      </c>
      <c r="B142" t="s">
        <v>287</v>
      </c>
    </row>
    <row r="143" spans="1:2" x14ac:dyDescent="0.3">
      <c r="A143" t="s">
        <v>288</v>
      </c>
      <c r="B143" t="s">
        <v>289</v>
      </c>
    </row>
    <row r="144" spans="1:2" x14ac:dyDescent="0.3">
      <c r="A144" t="s">
        <v>290</v>
      </c>
      <c r="B144" t="s">
        <v>291</v>
      </c>
    </row>
    <row r="145" spans="1:2" x14ac:dyDescent="0.3">
      <c r="A145" t="s">
        <v>292</v>
      </c>
      <c r="B145" t="s">
        <v>293</v>
      </c>
    </row>
    <row r="146" spans="1:2" x14ac:dyDescent="0.3">
      <c r="A146" t="s">
        <v>294</v>
      </c>
      <c r="B146" t="s">
        <v>295</v>
      </c>
    </row>
    <row r="147" spans="1:2" x14ac:dyDescent="0.3">
      <c r="A147" t="s">
        <v>296</v>
      </c>
      <c r="B147" t="s">
        <v>297</v>
      </c>
    </row>
    <row r="148" spans="1:2" x14ac:dyDescent="0.3">
      <c r="A148" t="s">
        <v>298</v>
      </c>
      <c r="B148" t="s">
        <v>299</v>
      </c>
    </row>
    <row r="149" spans="1:2" x14ac:dyDescent="0.3">
      <c r="A149" t="s">
        <v>300</v>
      </c>
      <c r="B149" t="s">
        <v>301</v>
      </c>
    </row>
    <row r="150" spans="1:2" x14ac:dyDescent="0.3">
      <c r="A150" t="s">
        <v>302</v>
      </c>
      <c r="B150" t="s">
        <v>303</v>
      </c>
    </row>
    <row r="151" spans="1:2" x14ac:dyDescent="0.3">
      <c r="A151" t="s">
        <v>304</v>
      </c>
      <c r="B151" t="s">
        <v>305</v>
      </c>
    </row>
    <row r="152" spans="1:2" x14ac:dyDescent="0.3">
      <c r="A152" t="s">
        <v>306</v>
      </c>
      <c r="B152" t="s">
        <v>307</v>
      </c>
    </row>
    <row r="153" spans="1:2" x14ac:dyDescent="0.3">
      <c r="A153" t="s">
        <v>308</v>
      </c>
      <c r="B153" t="s">
        <v>309</v>
      </c>
    </row>
    <row r="154" spans="1:2" x14ac:dyDescent="0.3">
      <c r="A154" t="s">
        <v>310</v>
      </c>
      <c r="B154" t="s">
        <v>311</v>
      </c>
    </row>
    <row r="155" spans="1:2" x14ac:dyDescent="0.3">
      <c r="A155" t="s">
        <v>312</v>
      </c>
      <c r="B155" t="s">
        <v>313</v>
      </c>
    </row>
    <row r="156" spans="1:2" x14ac:dyDescent="0.3">
      <c r="A156" t="s">
        <v>314</v>
      </c>
      <c r="B156" t="s">
        <v>315</v>
      </c>
    </row>
    <row r="157" spans="1:2" x14ac:dyDescent="0.3">
      <c r="A157" t="s">
        <v>316</v>
      </c>
      <c r="B157" t="s">
        <v>317</v>
      </c>
    </row>
    <row r="158" spans="1:2" x14ac:dyDescent="0.3">
      <c r="A158" t="s">
        <v>318</v>
      </c>
      <c r="B158" t="s">
        <v>319</v>
      </c>
    </row>
    <row r="159" spans="1:2" x14ac:dyDescent="0.3">
      <c r="A159" t="s">
        <v>320</v>
      </c>
      <c r="B159" t="s">
        <v>321</v>
      </c>
    </row>
    <row r="160" spans="1:2" x14ac:dyDescent="0.3">
      <c r="A160" t="s">
        <v>322</v>
      </c>
      <c r="B160" t="s">
        <v>323</v>
      </c>
    </row>
    <row r="161" spans="1:2" x14ac:dyDescent="0.3">
      <c r="A161" t="s">
        <v>324</v>
      </c>
      <c r="B161" t="s">
        <v>325</v>
      </c>
    </row>
    <row r="162" spans="1:2" x14ac:dyDescent="0.3">
      <c r="A162" t="s">
        <v>326</v>
      </c>
      <c r="B162" t="s">
        <v>327</v>
      </c>
    </row>
    <row r="163" spans="1:2" x14ac:dyDescent="0.3">
      <c r="A163" t="s">
        <v>328</v>
      </c>
      <c r="B163" t="s">
        <v>329</v>
      </c>
    </row>
    <row r="164" spans="1:2" x14ac:dyDescent="0.3">
      <c r="A164" t="s">
        <v>330</v>
      </c>
      <c r="B164" t="s">
        <v>331</v>
      </c>
    </row>
    <row r="165" spans="1:2" x14ac:dyDescent="0.3">
      <c r="A165" t="s">
        <v>332</v>
      </c>
      <c r="B165" t="s">
        <v>333</v>
      </c>
    </row>
    <row r="166" spans="1:2" x14ac:dyDescent="0.3">
      <c r="A166" t="s">
        <v>334</v>
      </c>
      <c r="B166" t="s">
        <v>335</v>
      </c>
    </row>
    <row r="167" spans="1:2" x14ac:dyDescent="0.3">
      <c r="A167" t="s">
        <v>336</v>
      </c>
      <c r="B167" t="s">
        <v>337</v>
      </c>
    </row>
    <row r="168" spans="1:2" x14ac:dyDescent="0.3">
      <c r="A168" t="s">
        <v>338</v>
      </c>
      <c r="B168" t="s">
        <v>339</v>
      </c>
    </row>
    <row r="169" spans="1:2" x14ac:dyDescent="0.3">
      <c r="A169" t="s">
        <v>340</v>
      </c>
      <c r="B169" t="s">
        <v>341</v>
      </c>
    </row>
    <row r="170" spans="1:2" x14ac:dyDescent="0.3">
      <c r="A170" t="s">
        <v>342</v>
      </c>
      <c r="B170" t="s">
        <v>343</v>
      </c>
    </row>
    <row r="171" spans="1:2" x14ac:dyDescent="0.3">
      <c r="A171" t="s">
        <v>344</v>
      </c>
      <c r="B171" t="s">
        <v>345</v>
      </c>
    </row>
    <row r="172" spans="1:2" x14ac:dyDescent="0.3">
      <c r="A172" t="s">
        <v>346</v>
      </c>
      <c r="B172" t="s">
        <v>347</v>
      </c>
    </row>
    <row r="173" spans="1:2" x14ac:dyDescent="0.3">
      <c r="A173" t="s">
        <v>348</v>
      </c>
      <c r="B173" t="s">
        <v>349</v>
      </c>
    </row>
    <row r="174" spans="1:2" x14ac:dyDescent="0.3">
      <c r="A174" t="s">
        <v>350</v>
      </c>
      <c r="B174" t="s">
        <v>351</v>
      </c>
    </row>
    <row r="175" spans="1:2" x14ac:dyDescent="0.3">
      <c r="A175" t="s">
        <v>352</v>
      </c>
      <c r="B175" t="s">
        <v>353</v>
      </c>
    </row>
    <row r="176" spans="1:2" x14ac:dyDescent="0.3">
      <c r="A176" t="s">
        <v>354</v>
      </c>
      <c r="B176" t="s">
        <v>355</v>
      </c>
    </row>
    <row r="177" spans="1:2" x14ac:dyDescent="0.3">
      <c r="A177" t="s">
        <v>356</v>
      </c>
      <c r="B177" t="s">
        <v>357</v>
      </c>
    </row>
    <row r="178" spans="1:2" x14ac:dyDescent="0.3">
      <c r="A178" t="s">
        <v>358</v>
      </c>
      <c r="B178" t="s">
        <v>359</v>
      </c>
    </row>
    <row r="179" spans="1:2" x14ac:dyDescent="0.3">
      <c r="A179" t="s">
        <v>360</v>
      </c>
      <c r="B179" t="s">
        <v>361</v>
      </c>
    </row>
    <row r="180" spans="1:2" x14ac:dyDescent="0.3">
      <c r="A180" t="s">
        <v>362</v>
      </c>
      <c r="B180" t="s">
        <v>363</v>
      </c>
    </row>
    <row r="181" spans="1:2" x14ac:dyDescent="0.3">
      <c r="A181" t="s">
        <v>364</v>
      </c>
      <c r="B181" t="s">
        <v>365</v>
      </c>
    </row>
    <row r="182" spans="1:2" x14ac:dyDescent="0.3">
      <c r="A182" t="s">
        <v>366</v>
      </c>
      <c r="B182" t="s">
        <v>367</v>
      </c>
    </row>
    <row r="183" spans="1:2" x14ac:dyDescent="0.3">
      <c r="A183" t="s">
        <v>368</v>
      </c>
      <c r="B183" t="s">
        <v>369</v>
      </c>
    </row>
    <row r="184" spans="1:2" x14ac:dyDescent="0.3">
      <c r="A184" t="s">
        <v>370</v>
      </c>
      <c r="B184" t="s">
        <v>371</v>
      </c>
    </row>
    <row r="185" spans="1:2" x14ac:dyDescent="0.3">
      <c r="A185" t="s">
        <v>372</v>
      </c>
      <c r="B185" t="s">
        <v>373</v>
      </c>
    </row>
    <row r="186" spans="1:2" x14ac:dyDescent="0.3">
      <c r="A186" t="s">
        <v>374</v>
      </c>
      <c r="B186" t="s">
        <v>375</v>
      </c>
    </row>
    <row r="187" spans="1:2" x14ac:dyDescent="0.3">
      <c r="A187" t="s">
        <v>376</v>
      </c>
      <c r="B187" t="s">
        <v>377</v>
      </c>
    </row>
    <row r="188" spans="1:2" x14ac:dyDescent="0.3">
      <c r="A188" t="s">
        <v>378</v>
      </c>
      <c r="B188" t="s">
        <v>379</v>
      </c>
    </row>
    <row r="189" spans="1:2" x14ac:dyDescent="0.3">
      <c r="A189" t="s">
        <v>380</v>
      </c>
      <c r="B189" t="s">
        <v>381</v>
      </c>
    </row>
    <row r="190" spans="1:2" x14ac:dyDescent="0.3">
      <c r="A190" t="s">
        <v>382</v>
      </c>
      <c r="B190" t="s">
        <v>383</v>
      </c>
    </row>
    <row r="191" spans="1:2" x14ac:dyDescent="0.3">
      <c r="A191" t="s">
        <v>384</v>
      </c>
      <c r="B191" t="s">
        <v>385</v>
      </c>
    </row>
    <row r="192" spans="1:2" x14ac:dyDescent="0.3">
      <c r="A192" t="s">
        <v>386</v>
      </c>
      <c r="B192" t="s">
        <v>387</v>
      </c>
    </row>
    <row r="193" spans="1:2" x14ac:dyDescent="0.3">
      <c r="A193" t="s">
        <v>388</v>
      </c>
      <c r="B193" t="s">
        <v>389</v>
      </c>
    </row>
    <row r="194" spans="1:2" x14ac:dyDescent="0.3">
      <c r="A194" t="s">
        <v>390</v>
      </c>
      <c r="B194" t="s">
        <v>391</v>
      </c>
    </row>
    <row r="195" spans="1:2" x14ac:dyDescent="0.3">
      <c r="A195" t="s">
        <v>392</v>
      </c>
      <c r="B195" t="s">
        <v>393</v>
      </c>
    </row>
    <row r="196" spans="1:2" x14ac:dyDescent="0.3">
      <c r="A196" t="s">
        <v>394</v>
      </c>
      <c r="B196" t="s">
        <v>395</v>
      </c>
    </row>
    <row r="197" spans="1:2" x14ac:dyDescent="0.3">
      <c r="A197" t="s">
        <v>396</v>
      </c>
      <c r="B197" t="s">
        <v>397</v>
      </c>
    </row>
    <row r="198" spans="1:2" x14ac:dyDescent="0.3">
      <c r="A198" t="s">
        <v>398</v>
      </c>
      <c r="B198" t="s">
        <v>399</v>
      </c>
    </row>
    <row r="199" spans="1:2" x14ac:dyDescent="0.3">
      <c r="A199" t="s">
        <v>400</v>
      </c>
      <c r="B199" t="s">
        <v>401</v>
      </c>
    </row>
    <row r="200" spans="1:2" x14ac:dyDescent="0.3">
      <c r="A200" t="s">
        <v>402</v>
      </c>
      <c r="B200" t="s">
        <v>403</v>
      </c>
    </row>
    <row r="201" spans="1:2" x14ac:dyDescent="0.3">
      <c r="A201" t="s">
        <v>404</v>
      </c>
      <c r="B201" t="s">
        <v>405</v>
      </c>
    </row>
    <row r="202" spans="1:2" x14ac:dyDescent="0.3">
      <c r="A202" t="s">
        <v>406</v>
      </c>
      <c r="B202" t="s">
        <v>407</v>
      </c>
    </row>
    <row r="203" spans="1:2" x14ac:dyDescent="0.3">
      <c r="A203" t="s">
        <v>408</v>
      </c>
      <c r="B203" t="s">
        <v>409</v>
      </c>
    </row>
    <row r="204" spans="1:2" x14ac:dyDescent="0.3">
      <c r="A204" t="s">
        <v>410</v>
      </c>
      <c r="B204" t="s">
        <v>411</v>
      </c>
    </row>
    <row r="205" spans="1:2" x14ac:dyDescent="0.3">
      <c r="A205" t="s">
        <v>412</v>
      </c>
      <c r="B205" t="s">
        <v>413</v>
      </c>
    </row>
    <row r="206" spans="1:2" x14ac:dyDescent="0.3">
      <c r="A206" t="s">
        <v>414</v>
      </c>
      <c r="B206" t="s">
        <v>415</v>
      </c>
    </row>
    <row r="207" spans="1:2" x14ac:dyDescent="0.3">
      <c r="A207" t="s">
        <v>416</v>
      </c>
      <c r="B207" t="s">
        <v>417</v>
      </c>
    </row>
    <row r="208" spans="1:2" x14ac:dyDescent="0.3">
      <c r="A208" t="s">
        <v>418</v>
      </c>
      <c r="B208" t="s">
        <v>419</v>
      </c>
    </row>
    <row r="209" spans="1:2" x14ac:dyDescent="0.3">
      <c r="A209" t="s">
        <v>420</v>
      </c>
      <c r="B209" t="s">
        <v>421</v>
      </c>
    </row>
    <row r="210" spans="1:2" x14ac:dyDescent="0.3">
      <c r="A210" t="s">
        <v>422</v>
      </c>
      <c r="B210" t="s">
        <v>423</v>
      </c>
    </row>
    <row r="211" spans="1:2" x14ac:dyDescent="0.3">
      <c r="A211" t="s">
        <v>424</v>
      </c>
      <c r="B211" t="s">
        <v>425</v>
      </c>
    </row>
    <row r="212" spans="1:2" x14ac:dyDescent="0.3">
      <c r="A212" t="s">
        <v>426</v>
      </c>
      <c r="B212" t="s">
        <v>427</v>
      </c>
    </row>
    <row r="213" spans="1:2" x14ac:dyDescent="0.3">
      <c r="A213" t="s">
        <v>428</v>
      </c>
      <c r="B213" t="s">
        <v>429</v>
      </c>
    </row>
    <row r="214" spans="1:2" x14ac:dyDescent="0.3">
      <c r="A214" t="s">
        <v>430</v>
      </c>
      <c r="B214" t="s">
        <v>431</v>
      </c>
    </row>
    <row r="215" spans="1:2" x14ac:dyDescent="0.3">
      <c r="A215" t="s">
        <v>432</v>
      </c>
      <c r="B215" t="s">
        <v>433</v>
      </c>
    </row>
    <row r="216" spans="1:2" x14ac:dyDescent="0.3">
      <c r="A216" t="s">
        <v>434</v>
      </c>
      <c r="B216" t="s">
        <v>435</v>
      </c>
    </row>
    <row r="217" spans="1:2" x14ac:dyDescent="0.3">
      <c r="A217" t="s">
        <v>436</v>
      </c>
      <c r="B217" t="s">
        <v>437</v>
      </c>
    </row>
    <row r="218" spans="1:2" x14ac:dyDescent="0.3">
      <c r="A218" t="s">
        <v>438</v>
      </c>
      <c r="B218" t="s">
        <v>439</v>
      </c>
    </row>
    <row r="219" spans="1:2" x14ac:dyDescent="0.3">
      <c r="A219" t="s">
        <v>440</v>
      </c>
      <c r="B219" t="s">
        <v>441</v>
      </c>
    </row>
    <row r="220" spans="1:2" x14ac:dyDescent="0.3">
      <c r="A220" t="s">
        <v>442</v>
      </c>
      <c r="B220" t="s">
        <v>443</v>
      </c>
    </row>
    <row r="221" spans="1:2" x14ac:dyDescent="0.3">
      <c r="A221" t="s">
        <v>444</v>
      </c>
      <c r="B221" t="s">
        <v>445</v>
      </c>
    </row>
    <row r="222" spans="1:2" x14ac:dyDescent="0.3">
      <c r="A222" t="s">
        <v>446</v>
      </c>
      <c r="B222" t="s">
        <v>447</v>
      </c>
    </row>
    <row r="223" spans="1:2" x14ac:dyDescent="0.3">
      <c r="A223" t="s">
        <v>448</v>
      </c>
      <c r="B223" t="s">
        <v>449</v>
      </c>
    </row>
    <row r="224" spans="1:2" x14ac:dyDescent="0.3">
      <c r="A224" t="s">
        <v>450</v>
      </c>
      <c r="B224" t="s">
        <v>451</v>
      </c>
    </row>
    <row r="225" spans="1:2" x14ac:dyDescent="0.3">
      <c r="A225" t="s">
        <v>452</v>
      </c>
      <c r="B225" t="s">
        <v>453</v>
      </c>
    </row>
    <row r="226" spans="1:2" x14ac:dyDescent="0.3">
      <c r="A226" t="s">
        <v>454</v>
      </c>
      <c r="B226" t="s">
        <v>455</v>
      </c>
    </row>
    <row r="227" spans="1:2" x14ac:dyDescent="0.3">
      <c r="A227" t="s">
        <v>456</v>
      </c>
      <c r="B227" t="s">
        <v>457</v>
      </c>
    </row>
    <row r="228" spans="1:2" x14ac:dyDescent="0.3">
      <c r="A228" t="s">
        <v>458</v>
      </c>
      <c r="B228" t="s">
        <v>459</v>
      </c>
    </row>
    <row r="229" spans="1:2" x14ac:dyDescent="0.3">
      <c r="A229" t="s">
        <v>460</v>
      </c>
      <c r="B229" t="s">
        <v>461</v>
      </c>
    </row>
    <row r="230" spans="1:2" x14ac:dyDescent="0.3">
      <c r="A230" t="s">
        <v>462</v>
      </c>
      <c r="B230" t="s">
        <v>463</v>
      </c>
    </row>
    <row r="231" spans="1:2" x14ac:dyDescent="0.3">
      <c r="A231" t="s">
        <v>464</v>
      </c>
      <c r="B231" t="s">
        <v>465</v>
      </c>
    </row>
    <row r="232" spans="1:2" x14ac:dyDescent="0.3">
      <c r="A232" t="s">
        <v>466</v>
      </c>
      <c r="B232" t="s">
        <v>467</v>
      </c>
    </row>
    <row r="233" spans="1:2" x14ac:dyDescent="0.3">
      <c r="A233" t="s">
        <v>468</v>
      </c>
      <c r="B233" t="s">
        <v>469</v>
      </c>
    </row>
    <row r="234" spans="1:2" x14ac:dyDescent="0.3">
      <c r="A234" t="s">
        <v>470</v>
      </c>
      <c r="B234" t="s">
        <v>471</v>
      </c>
    </row>
    <row r="235" spans="1:2" x14ac:dyDescent="0.3">
      <c r="A235" t="s">
        <v>472</v>
      </c>
      <c r="B235" t="s">
        <v>473</v>
      </c>
    </row>
    <row r="236" spans="1:2" x14ac:dyDescent="0.3">
      <c r="A236" t="s">
        <v>474</v>
      </c>
      <c r="B236" t="s">
        <v>475</v>
      </c>
    </row>
    <row r="237" spans="1:2" x14ac:dyDescent="0.3">
      <c r="A237" t="s">
        <v>476</v>
      </c>
      <c r="B237" t="s">
        <v>477</v>
      </c>
    </row>
    <row r="238" spans="1:2" x14ac:dyDescent="0.3">
      <c r="A238" t="s">
        <v>478</v>
      </c>
      <c r="B238" t="s">
        <v>479</v>
      </c>
    </row>
    <row r="239" spans="1:2" x14ac:dyDescent="0.3">
      <c r="A239" t="s">
        <v>480</v>
      </c>
      <c r="B239" t="s">
        <v>481</v>
      </c>
    </row>
    <row r="240" spans="1:2" x14ac:dyDescent="0.3">
      <c r="A240" t="s">
        <v>482</v>
      </c>
      <c r="B240" t="s">
        <v>483</v>
      </c>
    </row>
    <row r="241" spans="1:2" x14ac:dyDescent="0.3">
      <c r="A241" t="s">
        <v>484</v>
      </c>
      <c r="B241" t="s">
        <v>485</v>
      </c>
    </row>
    <row r="242" spans="1:2" x14ac:dyDescent="0.3">
      <c r="A242" t="s">
        <v>486</v>
      </c>
      <c r="B242" t="s">
        <v>487</v>
      </c>
    </row>
    <row r="243" spans="1:2" x14ac:dyDescent="0.3">
      <c r="A243" t="s">
        <v>488</v>
      </c>
      <c r="B243" t="s">
        <v>489</v>
      </c>
    </row>
    <row r="244" spans="1:2" x14ac:dyDescent="0.3">
      <c r="A244" t="s">
        <v>490</v>
      </c>
      <c r="B244" t="s">
        <v>491</v>
      </c>
    </row>
    <row r="245" spans="1:2" x14ac:dyDescent="0.3">
      <c r="A245" t="s">
        <v>492</v>
      </c>
      <c r="B245" t="s">
        <v>493</v>
      </c>
    </row>
    <row r="246" spans="1:2" x14ac:dyDescent="0.3">
      <c r="A246" t="s">
        <v>494</v>
      </c>
      <c r="B246" t="s">
        <v>495</v>
      </c>
    </row>
    <row r="247" spans="1:2" x14ac:dyDescent="0.3">
      <c r="A247" t="s">
        <v>496</v>
      </c>
      <c r="B247" t="s">
        <v>497</v>
      </c>
    </row>
    <row r="248" spans="1:2" x14ac:dyDescent="0.3">
      <c r="A248" t="s">
        <v>498</v>
      </c>
      <c r="B248" t="s">
        <v>499</v>
      </c>
    </row>
    <row r="249" spans="1:2" x14ac:dyDescent="0.3">
      <c r="A249" t="s">
        <v>500</v>
      </c>
      <c r="B249" t="s">
        <v>501</v>
      </c>
    </row>
    <row r="250" spans="1:2" x14ac:dyDescent="0.3">
      <c r="A250" t="s">
        <v>502</v>
      </c>
      <c r="B250" t="s">
        <v>503</v>
      </c>
    </row>
    <row r="251" spans="1:2" x14ac:dyDescent="0.3">
      <c r="A251" t="s">
        <v>504</v>
      </c>
      <c r="B251" t="s">
        <v>505</v>
      </c>
    </row>
    <row r="252" spans="1:2" x14ac:dyDescent="0.3">
      <c r="A252" t="s">
        <v>506</v>
      </c>
      <c r="B252" t="s">
        <v>507</v>
      </c>
    </row>
    <row r="253" spans="1:2" x14ac:dyDescent="0.3">
      <c r="A253" t="s">
        <v>508</v>
      </c>
      <c r="B253" t="s">
        <v>509</v>
      </c>
    </row>
    <row r="254" spans="1:2" x14ac:dyDescent="0.3">
      <c r="A254" t="s">
        <v>510</v>
      </c>
      <c r="B254" t="s">
        <v>511</v>
      </c>
    </row>
    <row r="255" spans="1:2" x14ac:dyDescent="0.3">
      <c r="A255" t="s">
        <v>512</v>
      </c>
      <c r="B255" t="s">
        <v>513</v>
      </c>
    </row>
    <row r="256" spans="1:2" x14ac:dyDescent="0.3">
      <c r="A256" t="s">
        <v>514</v>
      </c>
      <c r="B256" t="s">
        <v>515</v>
      </c>
    </row>
    <row r="257" spans="1:2" x14ac:dyDescent="0.3">
      <c r="A257" t="s">
        <v>516</v>
      </c>
      <c r="B257" t="s">
        <v>517</v>
      </c>
    </row>
    <row r="258" spans="1:2" x14ac:dyDescent="0.3">
      <c r="A258" t="s">
        <v>518</v>
      </c>
      <c r="B258" t="s">
        <v>519</v>
      </c>
    </row>
    <row r="259" spans="1:2" x14ac:dyDescent="0.3">
      <c r="A259" t="s">
        <v>520</v>
      </c>
      <c r="B259" t="s">
        <v>521</v>
      </c>
    </row>
    <row r="260" spans="1:2" x14ac:dyDescent="0.3">
      <c r="A260" t="s">
        <v>522</v>
      </c>
      <c r="B260" t="s">
        <v>523</v>
      </c>
    </row>
    <row r="261" spans="1:2" x14ac:dyDescent="0.3">
      <c r="A261" t="s">
        <v>524</v>
      </c>
      <c r="B261" t="s">
        <v>525</v>
      </c>
    </row>
    <row r="262" spans="1:2" x14ac:dyDescent="0.3">
      <c r="A262" t="s">
        <v>526</v>
      </c>
      <c r="B262" t="s">
        <v>527</v>
      </c>
    </row>
    <row r="263" spans="1:2" x14ac:dyDescent="0.3">
      <c r="A263" t="s">
        <v>528</v>
      </c>
      <c r="B263" t="s">
        <v>529</v>
      </c>
    </row>
    <row r="264" spans="1:2" x14ac:dyDescent="0.3">
      <c r="A264" t="s">
        <v>530</v>
      </c>
      <c r="B264" t="s">
        <v>531</v>
      </c>
    </row>
    <row r="265" spans="1:2" x14ac:dyDescent="0.3">
      <c r="A265" t="s">
        <v>532</v>
      </c>
      <c r="B265" t="s">
        <v>533</v>
      </c>
    </row>
    <row r="266" spans="1:2" x14ac:dyDescent="0.3">
      <c r="A266" t="s">
        <v>534</v>
      </c>
      <c r="B266" t="s">
        <v>535</v>
      </c>
    </row>
    <row r="267" spans="1:2" x14ac:dyDescent="0.3">
      <c r="A267" t="s">
        <v>536</v>
      </c>
      <c r="B267" t="s">
        <v>537</v>
      </c>
    </row>
    <row r="268" spans="1:2" x14ac:dyDescent="0.3">
      <c r="A268" t="s">
        <v>538</v>
      </c>
      <c r="B268" t="s">
        <v>539</v>
      </c>
    </row>
    <row r="269" spans="1:2" x14ac:dyDescent="0.3">
      <c r="A269" t="s">
        <v>540</v>
      </c>
      <c r="B269" t="s">
        <v>541</v>
      </c>
    </row>
    <row r="270" spans="1:2" x14ac:dyDescent="0.3">
      <c r="A270" t="s">
        <v>542</v>
      </c>
      <c r="B270" t="s">
        <v>543</v>
      </c>
    </row>
    <row r="271" spans="1:2" x14ac:dyDescent="0.3">
      <c r="A271" t="s">
        <v>544</v>
      </c>
      <c r="B271" t="s">
        <v>545</v>
      </c>
    </row>
    <row r="272" spans="1:2" x14ac:dyDescent="0.3">
      <c r="A272" t="s">
        <v>546</v>
      </c>
      <c r="B272" t="s">
        <v>547</v>
      </c>
    </row>
    <row r="273" spans="1:2" x14ac:dyDescent="0.3">
      <c r="A273" t="s">
        <v>548</v>
      </c>
      <c r="B273" t="s">
        <v>549</v>
      </c>
    </row>
    <row r="274" spans="1:2" x14ac:dyDescent="0.3">
      <c r="A274" t="s">
        <v>550</v>
      </c>
      <c r="B274" t="s">
        <v>551</v>
      </c>
    </row>
    <row r="275" spans="1:2" x14ac:dyDescent="0.3">
      <c r="A275" t="s">
        <v>552</v>
      </c>
      <c r="B275" t="s">
        <v>553</v>
      </c>
    </row>
    <row r="276" spans="1:2" x14ac:dyDescent="0.3">
      <c r="A276" t="s">
        <v>554</v>
      </c>
      <c r="B276" t="s">
        <v>555</v>
      </c>
    </row>
    <row r="277" spans="1:2" x14ac:dyDescent="0.3">
      <c r="A277" t="s">
        <v>556</v>
      </c>
      <c r="B277" t="s">
        <v>557</v>
      </c>
    </row>
    <row r="278" spans="1:2" x14ac:dyDescent="0.3">
      <c r="A278" t="s">
        <v>558</v>
      </c>
      <c r="B278" t="s">
        <v>559</v>
      </c>
    </row>
    <row r="279" spans="1:2" x14ac:dyDescent="0.3">
      <c r="A279" t="s">
        <v>560</v>
      </c>
      <c r="B279" t="s">
        <v>561</v>
      </c>
    </row>
    <row r="280" spans="1:2" x14ac:dyDescent="0.3">
      <c r="A280" t="s">
        <v>562</v>
      </c>
      <c r="B280" t="s">
        <v>563</v>
      </c>
    </row>
    <row r="281" spans="1:2" x14ac:dyDescent="0.3">
      <c r="A281" t="s">
        <v>564</v>
      </c>
      <c r="B281" t="s">
        <v>565</v>
      </c>
    </row>
    <row r="282" spans="1:2" x14ac:dyDescent="0.3">
      <c r="A282" t="s">
        <v>566</v>
      </c>
      <c r="B282" t="s">
        <v>567</v>
      </c>
    </row>
    <row r="283" spans="1:2" x14ac:dyDescent="0.3">
      <c r="A283" t="s">
        <v>568</v>
      </c>
      <c r="B283" t="s">
        <v>569</v>
      </c>
    </row>
    <row r="284" spans="1:2" x14ac:dyDescent="0.3">
      <c r="A284" t="s">
        <v>570</v>
      </c>
      <c r="B284" t="s">
        <v>571</v>
      </c>
    </row>
    <row r="285" spans="1:2" x14ac:dyDescent="0.3">
      <c r="A285" t="s">
        <v>572</v>
      </c>
      <c r="B285" t="s">
        <v>573</v>
      </c>
    </row>
    <row r="286" spans="1:2" x14ac:dyDescent="0.3">
      <c r="A286" t="s">
        <v>574</v>
      </c>
      <c r="B286" t="s">
        <v>575</v>
      </c>
    </row>
    <row r="287" spans="1:2" x14ac:dyDescent="0.3">
      <c r="A287" t="s">
        <v>576</v>
      </c>
      <c r="B287" t="s">
        <v>577</v>
      </c>
    </row>
    <row r="288" spans="1:2" x14ac:dyDescent="0.3">
      <c r="A288" t="s">
        <v>578</v>
      </c>
      <c r="B288" t="s">
        <v>579</v>
      </c>
    </row>
    <row r="289" spans="1:2" x14ac:dyDescent="0.3">
      <c r="A289" t="s">
        <v>580</v>
      </c>
      <c r="B289" t="s">
        <v>581</v>
      </c>
    </row>
    <row r="290" spans="1:2" x14ac:dyDescent="0.3">
      <c r="A290" t="s">
        <v>582</v>
      </c>
      <c r="B290" t="s">
        <v>583</v>
      </c>
    </row>
    <row r="291" spans="1:2" x14ac:dyDescent="0.3">
      <c r="A291" t="s">
        <v>584</v>
      </c>
      <c r="B291" t="s">
        <v>585</v>
      </c>
    </row>
    <row r="292" spans="1:2" x14ac:dyDescent="0.3">
      <c r="A292" t="s">
        <v>586</v>
      </c>
      <c r="B292" t="s">
        <v>587</v>
      </c>
    </row>
    <row r="293" spans="1:2" x14ac:dyDescent="0.3">
      <c r="A293" t="s">
        <v>588</v>
      </c>
      <c r="B293" t="s">
        <v>589</v>
      </c>
    </row>
    <row r="294" spans="1:2" x14ac:dyDescent="0.3">
      <c r="A294" t="s">
        <v>590</v>
      </c>
      <c r="B294" t="s">
        <v>591</v>
      </c>
    </row>
    <row r="295" spans="1:2" x14ac:dyDescent="0.3">
      <c r="A295" t="s">
        <v>592</v>
      </c>
      <c r="B295" t="s">
        <v>593</v>
      </c>
    </row>
    <row r="296" spans="1:2" x14ac:dyDescent="0.3">
      <c r="A296" t="s">
        <v>594</v>
      </c>
      <c r="B296" t="s">
        <v>595</v>
      </c>
    </row>
    <row r="297" spans="1:2" x14ac:dyDescent="0.3">
      <c r="A297" t="s">
        <v>596</v>
      </c>
      <c r="B297" t="s">
        <v>597</v>
      </c>
    </row>
    <row r="298" spans="1:2" x14ac:dyDescent="0.3">
      <c r="A298" t="s">
        <v>598</v>
      </c>
      <c r="B298" t="s">
        <v>599</v>
      </c>
    </row>
    <row r="299" spans="1:2" x14ac:dyDescent="0.3">
      <c r="A299" t="s">
        <v>600</v>
      </c>
      <c r="B299" t="s">
        <v>601</v>
      </c>
    </row>
    <row r="300" spans="1:2" x14ac:dyDescent="0.3">
      <c r="A300" t="s">
        <v>602</v>
      </c>
      <c r="B300" t="s">
        <v>603</v>
      </c>
    </row>
    <row r="301" spans="1:2" x14ac:dyDescent="0.3">
      <c r="A301" t="s">
        <v>604</v>
      </c>
      <c r="B301" t="s">
        <v>605</v>
      </c>
    </row>
    <row r="302" spans="1:2" x14ac:dyDescent="0.3">
      <c r="A302" t="s">
        <v>606</v>
      </c>
      <c r="B302" t="s">
        <v>607</v>
      </c>
    </row>
    <row r="303" spans="1:2" x14ac:dyDescent="0.3">
      <c r="A303" t="s">
        <v>608</v>
      </c>
      <c r="B303" t="s">
        <v>609</v>
      </c>
    </row>
    <row r="304" spans="1:2" x14ac:dyDescent="0.3">
      <c r="A304" t="s">
        <v>610</v>
      </c>
      <c r="B304" t="s">
        <v>611</v>
      </c>
    </row>
    <row r="305" spans="1:2" x14ac:dyDescent="0.3">
      <c r="A305" t="s">
        <v>612</v>
      </c>
      <c r="B305" t="s">
        <v>613</v>
      </c>
    </row>
    <row r="306" spans="1:2" x14ac:dyDescent="0.3">
      <c r="A306" t="s">
        <v>614</v>
      </c>
      <c r="B306" t="s">
        <v>615</v>
      </c>
    </row>
    <row r="307" spans="1:2" x14ac:dyDescent="0.3">
      <c r="A307" t="s">
        <v>616</v>
      </c>
      <c r="B307" t="s">
        <v>617</v>
      </c>
    </row>
    <row r="308" spans="1:2" x14ac:dyDescent="0.3">
      <c r="A308" t="s">
        <v>618</v>
      </c>
      <c r="B308" t="s">
        <v>619</v>
      </c>
    </row>
    <row r="309" spans="1:2" x14ac:dyDescent="0.3">
      <c r="A309" t="s">
        <v>620</v>
      </c>
      <c r="B309" t="s">
        <v>621</v>
      </c>
    </row>
    <row r="310" spans="1:2" x14ac:dyDescent="0.3">
      <c r="A310" t="s">
        <v>622</v>
      </c>
      <c r="B310" t="s">
        <v>623</v>
      </c>
    </row>
    <row r="311" spans="1:2" x14ac:dyDescent="0.3">
      <c r="A311" t="s">
        <v>624</v>
      </c>
      <c r="B311" t="s">
        <v>625</v>
      </c>
    </row>
    <row r="312" spans="1:2" x14ac:dyDescent="0.3">
      <c r="A312" t="s">
        <v>626</v>
      </c>
      <c r="B312" t="s">
        <v>627</v>
      </c>
    </row>
    <row r="313" spans="1:2" x14ac:dyDescent="0.3">
      <c r="A313" t="s">
        <v>628</v>
      </c>
      <c r="B313" t="s">
        <v>629</v>
      </c>
    </row>
    <row r="314" spans="1:2" x14ac:dyDescent="0.3">
      <c r="A314" t="s">
        <v>630</v>
      </c>
      <c r="B314" t="s">
        <v>631</v>
      </c>
    </row>
    <row r="315" spans="1:2" x14ac:dyDescent="0.3">
      <c r="A315" t="s">
        <v>632</v>
      </c>
      <c r="B315" t="s">
        <v>633</v>
      </c>
    </row>
    <row r="316" spans="1:2" x14ac:dyDescent="0.3">
      <c r="A316" t="s">
        <v>634</v>
      </c>
      <c r="B316" t="s">
        <v>635</v>
      </c>
    </row>
    <row r="317" spans="1:2" x14ac:dyDescent="0.3">
      <c r="A317" t="s">
        <v>636</v>
      </c>
      <c r="B317" t="s">
        <v>637</v>
      </c>
    </row>
    <row r="318" spans="1:2" x14ac:dyDescent="0.3">
      <c r="A318" t="s">
        <v>638</v>
      </c>
      <c r="B318" t="s">
        <v>639</v>
      </c>
    </row>
    <row r="319" spans="1:2" x14ac:dyDescent="0.3">
      <c r="A319" t="s">
        <v>640</v>
      </c>
      <c r="B319" t="s">
        <v>641</v>
      </c>
    </row>
    <row r="320" spans="1:2" x14ac:dyDescent="0.3">
      <c r="A320" t="s">
        <v>642</v>
      </c>
      <c r="B320" t="s">
        <v>643</v>
      </c>
    </row>
    <row r="321" spans="1:2" x14ac:dyDescent="0.3">
      <c r="A321" t="s">
        <v>644</v>
      </c>
      <c r="B321" t="s">
        <v>645</v>
      </c>
    </row>
    <row r="322" spans="1:2" x14ac:dyDescent="0.3">
      <c r="A322" t="s">
        <v>646</v>
      </c>
      <c r="B322" t="s">
        <v>647</v>
      </c>
    </row>
    <row r="323" spans="1:2" x14ac:dyDescent="0.3">
      <c r="A323" t="s">
        <v>648</v>
      </c>
      <c r="B323" t="s">
        <v>649</v>
      </c>
    </row>
    <row r="324" spans="1:2" x14ac:dyDescent="0.3">
      <c r="A324" t="s">
        <v>650</v>
      </c>
      <c r="B324" t="s">
        <v>651</v>
      </c>
    </row>
    <row r="325" spans="1:2" x14ac:dyDescent="0.3">
      <c r="A325" t="s">
        <v>652</v>
      </c>
      <c r="B325" t="s">
        <v>653</v>
      </c>
    </row>
    <row r="326" spans="1:2" x14ac:dyDescent="0.3">
      <c r="A326" t="s">
        <v>654</v>
      </c>
      <c r="B326" t="s">
        <v>655</v>
      </c>
    </row>
    <row r="327" spans="1:2" x14ac:dyDescent="0.3">
      <c r="A327" t="s">
        <v>656</v>
      </c>
      <c r="B327" t="s">
        <v>657</v>
      </c>
    </row>
    <row r="328" spans="1:2" x14ac:dyDescent="0.3">
      <c r="A328" t="s">
        <v>658</v>
      </c>
      <c r="B328" t="s">
        <v>659</v>
      </c>
    </row>
    <row r="329" spans="1:2" x14ac:dyDescent="0.3">
      <c r="A329" t="s">
        <v>660</v>
      </c>
      <c r="B329" t="s">
        <v>661</v>
      </c>
    </row>
    <row r="330" spans="1:2" x14ac:dyDescent="0.3">
      <c r="A330" t="s">
        <v>662</v>
      </c>
      <c r="B330" t="s">
        <v>663</v>
      </c>
    </row>
    <row r="331" spans="1:2" x14ac:dyDescent="0.3">
      <c r="A331" t="s">
        <v>664</v>
      </c>
      <c r="B331" t="s">
        <v>665</v>
      </c>
    </row>
    <row r="332" spans="1:2" x14ac:dyDescent="0.3">
      <c r="A332" t="s">
        <v>666</v>
      </c>
      <c r="B332" t="s">
        <v>667</v>
      </c>
    </row>
    <row r="333" spans="1:2" x14ac:dyDescent="0.3">
      <c r="A333" t="s">
        <v>668</v>
      </c>
      <c r="B333" t="s">
        <v>669</v>
      </c>
    </row>
    <row r="334" spans="1:2" x14ac:dyDescent="0.3">
      <c r="A334" t="s">
        <v>670</v>
      </c>
      <c r="B334" t="s">
        <v>671</v>
      </c>
    </row>
    <row r="335" spans="1:2" x14ac:dyDescent="0.3">
      <c r="A335" t="s">
        <v>672</v>
      </c>
      <c r="B335" t="s">
        <v>673</v>
      </c>
    </row>
    <row r="336" spans="1:2" x14ac:dyDescent="0.3">
      <c r="A336" t="s">
        <v>674</v>
      </c>
      <c r="B336" t="s">
        <v>675</v>
      </c>
    </row>
    <row r="337" spans="1:2" x14ac:dyDescent="0.3">
      <c r="A337" t="s">
        <v>676</v>
      </c>
      <c r="B337" t="s">
        <v>677</v>
      </c>
    </row>
    <row r="338" spans="1:2" x14ac:dyDescent="0.3">
      <c r="A338" t="s">
        <v>678</v>
      </c>
      <c r="B338" t="s">
        <v>679</v>
      </c>
    </row>
    <row r="339" spans="1:2" x14ac:dyDescent="0.3">
      <c r="A339" t="s">
        <v>680</v>
      </c>
      <c r="B339" t="s">
        <v>681</v>
      </c>
    </row>
    <row r="340" spans="1:2" x14ac:dyDescent="0.3">
      <c r="A340" t="s">
        <v>682</v>
      </c>
      <c r="B340" t="s">
        <v>683</v>
      </c>
    </row>
    <row r="341" spans="1:2" x14ac:dyDescent="0.3">
      <c r="A341" t="s">
        <v>684</v>
      </c>
      <c r="B341" t="s">
        <v>685</v>
      </c>
    </row>
    <row r="342" spans="1:2" x14ac:dyDescent="0.3">
      <c r="A342" t="s">
        <v>686</v>
      </c>
      <c r="B342" t="s">
        <v>687</v>
      </c>
    </row>
    <row r="343" spans="1:2" x14ac:dyDescent="0.3">
      <c r="A343" t="s">
        <v>688</v>
      </c>
      <c r="B343" t="s">
        <v>689</v>
      </c>
    </row>
    <row r="344" spans="1:2" x14ac:dyDescent="0.3">
      <c r="A344" t="s">
        <v>690</v>
      </c>
      <c r="B344" t="s">
        <v>691</v>
      </c>
    </row>
    <row r="345" spans="1:2" x14ac:dyDescent="0.3">
      <c r="A345" t="s">
        <v>692</v>
      </c>
      <c r="B345" t="s">
        <v>693</v>
      </c>
    </row>
    <row r="346" spans="1:2" x14ac:dyDescent="0.3">
      <c r="A346" t="s">
        <v>694</v>
      </c>
      <c r="B346" t="s">
        <v>695</v>
      </c>
    </row>
    <row r="347" spans="1:2" x14ac:dyDescent="0.3">
      <c r="A347" t="s">
        <v>696</v>
      </c>
      <c r="B347" t="s">
        <v>697</v>
      </c>
    </row>
    <row r="348" spans="1:2" x14ac:dyDescent="0.3">
      <c r="A348" t="s">
        <v>698</v>
      </c>
      <c r="B348" t="s">
        <v>699</v>
      </c>
    </row>
    <row r="349" spans="1:2" x14ac:dyDescent="0.3">
      <c r="A349" t="s">
        <v>700</v>
      </c>
      <c r="B349" t="s">
        <v>701</v>
      </c>
    </row>
    <row r="350" spans="1:2" x14ac:dyDescent="0.3">
      <c r="A350" t="s">
        <v>702</v>
      </c>
      <c r="B350" t="s">
        <v>703</v>
      </c>
    </row>
    <row r="351" spans="1:2" x14ac:dyDescent="0.3">
      <c r="A351" t="s">
        <v>704</v>
      </c>
      <c r="B351" t="s">
        <v>705</v>
      </c>
    </row>
    <row r="352" spans="1:2" x14ac:dyDescent="0.3">
      <c r="A352" t="s">
        <v>706</v>
      </c>
      <c r="B352" t="s">
        <v>707</v>
      </c>
    </row>
    <row r="353" spans="1:2" x14ac:dyDescent="0.3">
      <c r="A353" t="s">
        <v>708</v>
      </c>
      <c r="B353" t="s">
        <v>709</v>
      </c>
    </row>
    <row r="354" spans="1:2" x14ac:dyDescent="0.3">
      <c r="A354" t="s">
        <v>710</v>
      </c>
      <c r="B354" t="s">
        <v>711</v>
      </c>
    </row>
    <row r="355" spans="1:2" x14ac:dyDescent="0.3">
      <c r="A355" t="s">
        <v>712</v>
      </c>
      <c r="B355" t="s">
        <v>713</v>
      </c>
    </row>
    <row r="356" spans="1:2" x14ac:dyDescent="0.3">
      <c r="A356" t="s">
        <v>714</v>
      </c>
      <c r="B356" t="s">
        <v>715</v>
      </c>
    </row>
    <row r="357" spans="1:2" x14ac:dyDescent="0.3">
      <c r="A357" t="s">
        <v>716</v>
      </c>
      <c r="B357" t="s">
        <v>717</v>
      </c>
    </row>
    <row r="358" spans="1:2" x14ac:dyDescent="0.3">
      <c r="A358" t="s">
        <v>718</v>
      </c>
      <c r="B358" t="s">
        <v>719</v>
      </c>
    </row>
    <row r="359" spans="1:2" x14ac:dyDescent="0.3">
      <c r="A359" t="s">
        <v>720</v>
      </c>
      <c r="B359" t="s">
        <v>721</v>
      </c>
    </row>
    <row r="360" spans="1:2" x14ac:dyDescent="0.3">
      <c r="A360" t="s">
        <v>722</v>
      </c>
      <c r="B360" t="s">
        <v>723</v>
      </c>
    </row>
    <row r="361" spans="1:2" x14ac:dyDescent="0.3">
      <c r="A361" t="s">
        <v>724</v>
      </c>
      <c r="B361" t="s">
        <v>725</v>
      </c>
    </row>
    <row r="362" spans="1:2" x14ac:dyDescent="0.3">
      <c r="A362" t="s">
        <v>726</v>
      </c>
      <c r="B362" t="s">
        <v>727</v>
      </c>
    </row>
    <row r="363" spans="1:2" x14ac:dyDescent="0.3">
      <c r="A363" t="s">
        <v>728</v>
      </c>
      <c r="B363" t="s">
        <v>729</v>
      </c>
    </row>
    <row r="364" spans="1:2" x14ac:dyDescent="0.3">
      <c r="A364" t="s">
        <v>730</v>
      </c>
      <c r="B364" t="s">
        <v>731</v>
      </c>
    </row>
    <row r="365" spans="1:2" x14ac:dyDescent="0.3">
      <c r="A365" t="s">
        <v>732</v>
      </c>
      <c r="B365" t="s">
        <v>733</v>
      </c>
    </row>
    <row r="366" spans="1:2" x14ac:dyDescent="0.3">
      <c r="A366" t="s">
        <v>734</v>
      </c>
      <c r="B366" t="s">
        <v>735</v>
      </c>
    </row>
    <row r="367" spans="1:2" x14ac:dyDescent="0.3">
      <c r="A367" t="s">
        <v>736</v>
      </c>
      <c r="B367" t="s">
        <v>737</v>
      </c>
    </row>
    <row r="368" spans="1:2" x14ac:dyDescent="0.3">
      <c r="A368" t="s">
        <v>738</v>
      </c>
      <c r="B368" t="s">
        <v>739</v>
      </c>
    </row>
    <row r="369" spans="1:2" x14ac:dyDescent="0.3">
      <c r="A369" t="s">
        <v>740</v>
      </c>
      <c r="B369" t="s">
        <v>741</v>
      </c>
    </row>
    <row r="370" spans="1:2" x14ac:dyDescent="0.3">
      <c r="A370" t="s">
        <v>742</v>
      </c>
      <c r="B370" t="s">
        <v>743</v>
      </c>
    </row>
    <row r="371" spans="1:2" x14ac:dyDescent="0.3">
      <c r="A371" t="s">
        <v>744</v>
      </c>
      <c r="B371" t="s">
        <v>745</v>
      </c>
    </row>
    <row r="372" spans="1:2" x14ac:dyDescent="0.3">
      <c r="A372" t="s">
        <v>746</v>
      </c>
      <c r="B372" t="s">
        <v>747</v>
      </c>
    </row>
    <row r="373" spans="1:2" x14ac:dyDescent="0.3">
      <c r="A373" t="s">
        <v>748</v>
      </c>
      <c r="B373" t="s">
        <v>749</v>
      </c>
    </row>
    <row r="374" spans="1:2" x14ac:dyDescent="0.3">
      <c r="A374" t="s">
        <v>750</v>
      </c>
      <c r="B374" t="s">
        <v>751</v>
      </c>
    </row>
    <row r="375" spans="1:2" x14ac:dyDescent="0.3">
      <c r="A375" t="s">
        <v>752</v>
      </c>
      <c r="B375" t="s">
        <v>753</v>
      </c>
    </row>
    <row r="376" spans="1:2" x14ac:dyDescent="0.3">
      <c r="A376" t="s">
        <v>754</v>
      </c>
      <c r="B376" t="s">
        <v>755</v>
      </c>
    </row>
    <row r="377" spans="1:2" x14ac:dyDescent="0.3">
      <c r="A377" t="s">
        <v>756</v>
      </c>
      <c r="B377" t="s">
        <v>757</v>
      </c>
    </row>
    <row r="378" spans="1:2" x14ac:dyDescent="0.3">
      <c r="A378" t="s">
        <v>758</v>
      </c>
      <c r="B378" t="s">
        <v>759</v>
      </c>
    </row>
    <row r="379" spans="1:2" x14ac:dyDescent="0.3">
      <c r="A379" t="s">
        <v>760</v>
      </c>
      <c r="B379" t="s">
        <v>761</v>
      </c>
    </row>
    <row r="380" spans="1:2" x14ac:dyDescent="0.3">
      <c r="A380" t="s">
        <v>762</v>
      </c>
      <c r="B380" t="s">
        <v>763</v>
      </c>
    </row>
    <row r="381" spans="1:2" x14ac:dyDescent="0.3">
      <c r="A381" t="s">
        <v>764</v>
      </c>
      <c r="B381" t="s">
        <v>765</v>
      </c>
    </row>
    <row r="382" spans="1:2" x14ac:dyDescent="0.3">
      <c r="A382" t="s">
        <v>766</v>
      </c>
      <c r="B382" t="s">
        <v>767</v>
      </c>
    </row>
    <row r="383" spans="1:2" x14ac:dyDescent="0.3">
      <c r="A383" t="s">
        <v>768</v>
      </c>
      <c r="B383" t="s">
        <v>769</v>
      </c>
    </row>
    <row r="384" spans="1:2" x14ac:dyDescent="0.3">
      <c r="A384" t="s">
        <v>770</v>
      </c>
      <c r="B384" t="s">
        <v>771</v>
      </c>
    </row>
    <row r="385" spans="1:2" x14ac:dyDescent="0.3">
      <c r="A385" t="s">
        <v>772</v>
      </c>
      <c r="B385" t="s">
        <v>773</v>
      </c>
    </row>
    <row r="386" spans="1:2" x14ac:dyDescent="0.3">
      <c r="A386" t="s">
        <v>774</v>
      </c>
      <c r="B386" t="s">
        <v>775</v>
      </c>
    </row>
    <row r="387" spans="1:2" x14ac:dyDescent="0.3">
      <c r="A387" t="s">
        <v>776</v>
      </c>
      <c r="B387" t="s">
        <v>777</v>
      </c>
    </row>
    <row r="388" spans="1:2" x14ac:dyDescent="0.3">
      <c r="A388" t="s">
        <v>778</v>
      </c>
      <c r="B388" t="s">
        <v>779</v>
      </c>
    </row>
    <row r="389" spans="1:2" x14ac:dyDescent="0.3">
      <c r="A389" t="s">
        <v>780</v>
      </c>
      <c r="B389" t="s">
        <v>781</v>
      </c>
    </row>
    <row r="390" spans="1:2" x14ac:dyDescent="0.3">
      <c r="A390" t="s">
        <v>782</v>
      </c>
      <c r="B390" t="s">
        <v>783</v>
      </c>
    </row>
    <row r="391" spans="1:2" x14ac:dyDescent="0.3">
      <c r="A391" t="s">
        <v>784</v>
      </c>
      <c r="B391" t="s">
        <v>785</v>
      </c>
    </row>
    <row r="392" spans="1:2" x14ac:dyDescent="0.3">
      <c r="A392" t="s">
        <v>786</v>
      </c>
      <c r="B392" t="s">
        <v>787</v>
      </c>
    </row>
    <row r="393" spans="1:2" x14ac:dyDescent="0.3">
      <c r="A393" t="s">
        <v>788</v>
      </c>
      <c r="B393" t="s">
        <v>789</v>
      </c>
    </row>
    <row r="394" spans="1:2" x14ac:dyDescent="0.3">
      <c r="A394" t="s">
        <v>790</v>
      </c>
      <c r="B394" t="s">
        <v>791</v>
      </c>
    </row>
    <row r="395" spans="1:2" x14ac:dyDescent="0.3">
      <c r="A395" t="s">
        <v>792</v>
      </c>
      <c r="B395" t="s">
        <v>793</v>
      </c>
    </row>
    <row r="396" spans="1:2" x14ac:dyDescent="0.3">
      <c r="A396" t="s">
        <v>794</v>
      </c>
      <c r="B396" t="s">
        <v>795</v>
      </c>
    </row>
    <row r="397" spans="1:2" x14ac:dyDescent="0.3">
      <c r="A397" t="s">
        <v>796</v>
      </c>
      <c r="B397" t="s">
        <v>797</v>
      </c>
    </row>
    <row r="398" spans="1:2" x14ac:dyDescent="0.3">
      <c r="A398" t="s">
        <v>798</v>
      </c>
      <c r="B398" t="s">
        <v>799</v>
      </c>
    </row>
    <row r="399" spans="1:2" x14ac:dyDescent="0.3">
      <c r="A399" t="s">
        <v>800</v>
      </c>
      <c r="B399" t="s">
        <v>801</v>
      </c>
    </row>
    <row r="400" spans="1:2" x14ac:dyDescent="0.3">
      <c r="A400" t="s">
        <v>802</v>
      </c>
      <c r="B400" t="s">
        <v>803</v>
      </c>
    </row>
    <row r="401" spans="1:2" x14ac:dyDescent="0.3">
      <c r="A401" t="s">
        <v>804</v>
      </c>
      <c r="B401" t="s">
        <v>805</v>
      </c>
    </row>
    <row r="402" spans="1:2" x14ac:dyDescent="0.3">
      <c r="A402" t="s">
        <v>806</v>
      </c>
      <c r="B402" t="s">
        <v>807</v>
      </c>
    </row>
    <row r="403" spans="1:2" x14ac:dyDescent="0.3">
      <c r="A403" t="s">
        <v>808</v>
      </c>
      <c r="B403" t="s">
        <v>809</v>
      </c>
    </row>
    <row r="404" spans="1:2" x14ac:dyDescent="0.3">
      <c r="A404" t="s">
        <v>810</v>
      </c>
      <c r="B404" t="s">
        <v>811</v>
      </c>
    </row>
    <row r="405" spans="1:2" x14ac:dyDescent="0.3">
      <c r="A405" t="s">
        <v>812</v>
      </c>
      <c r="B405" t="s">
        <v>813</v>
      </c>
    </row>
    <row r="406" spans="1:2" x14ac:dyDescent="0.3">
      <c r="A406" t="s">
        <v>814</v>
      </c>
      <c r="B406" t="s">
        <v>815</v>
      </c>
    </row>
    <row r="407" spans="1:2" x14ac:dyDescent="0.3">
      <c r="A407" t="s">
        <v>816</v>
      </c>
      <c r="B407" t="s">
        <v>817</v>
      </c>
    </row>
    <row r="408" spans="1:2" x14ac:dyDescent="0.3">
      <c r="A408" t="s">
        <v>818</v>
      </c>
      <c r="B408" t="s">
        <v>819</v>
      </c>
    </row>
    <row r="409" spans="1:2" x14ac:dyDescent="0.3">
      <c r="A409" t="s">
        <v>820</v>
      </c>
      <c r="B409" t="s">
        <v>821</v>
      </c>
    </row>
    <row r="410" spans="1:2" x14ac:dyDescent="0.3">
      <c r="A410" t="s">
        <v>822</v>
      </c>
      <c r="B410" t="s">
        <v>823</v>
      </c>
    </row>
    <row r="411" spans="1:2" x14ac:dyDescent="0.3">
      <c r="A411" t="s">
        <v>824</v>
      </c>
      <c r="B411" t="s">
        <v>825</v>
      </c>
    </row>
    <row r="412" spans="1:2" x14ac:dyDescent="0.3">
      <c r="A412" t="s">
        <v>826</v>
      </c>
      <c r="B412" t="s">
        <v>827</v>
      </c>
    </row>
    <row r="413" spans="1:2" x14ac:dyDescent="0.3">
      <c r="A413" t="s">
        <v>828</v>
      </c>
      <c r="B413" t="s">
        <v>829</v>
      </c>
    </row>
    <row r="414" spans="1:2" x14ac:dyDescent="0.3">
      <c r="A414" t="s">
        <v>820</v>
      </c>
      <c r="B414" t="s">
        <v>830</v>
      </c>
    </row>
    <row r="415" spans="1:2" x14ac:dyDescent="0.3">
      <c r="A415" t="s">
        <v>831</v>
      </c>
      <c r="B415" t="s">
        <v>832</v>
      </c>
    </row>
    <row r="416" spans="1:2" x14ac:dyDescent="0.3">
      <c r="A416" t="s">
        <v>833</v>
      </c>
      <c r="B416" t="s">
        <v>834</v>
      </c>
    </row>
    <row r="417" spans="1:2" x14ac:dyDescent="0.3">
      <c r="A417" t="s">
        <v>835</v>
      </c>
      <c r="B417" t="s">
        <v>836</v>
      </c>
    </row>
    <row r="418" spans="1:2" x14ac:dyDescent="0.3">
      <c r="A418" t="s">
        <v>837</v>
      </c>
      <c r="B418" t="s">
        <v>838</v>
      </c>
    </row>
    <row r="419" spans="1:2" x14ac:dyDescent="0.3">
      <c r="A419" t="s">
        <v>839</v>
      </c>
      <c r="B419" t="s">
        <v>840</v>
      </c>
    </row>
    <row r="420" spans="1:2" x14ac:dyDescent="0.3">
      <c r="A420" t="s">
        <v>841</v>
      </c>
      <c r="B420" t="s">
        <v>842</v>
      </c>
    </row>
    <row r="421" spans="1:2" x14ac:dyDescent="0.3">
      <c r="A421" t="s">
        <v>843</v>
      </c>
      <c r="B421" t="s">
        <v>844</v>
      </c>
    </row>
    <row r="422" spans="1:2" x14ac:dyDescent="0.3">
      <c r="A422" t="s">
        <v>845</v>
      </c>
      <c r="B422" t="s">
        <v>846</v>
      </c>
    </row>
    <row r="423" spans="1:2" x14ac:dyDescent="0.3">
      <c r="A423" t="s">
        <v>847</v>
      </c>
      <c r="B423" t="s">
        <v>848</v>
      </c>
    </row>
    <row r="424" spans="1:2" x14ac:dyDescent="0.3">
      <c r="A424" t="s">
        <v>849</v>
      </c>
      <c r="B424" t="s">
        <v>850</v>
      </c>
    </row>
    <row r="425" spans="1:2" x14ac:dyDescent="0.3">
      <c r="A425" t="s">
        <v>851</v>
      </c>
      <c r="B425" t="s">
        <v>852</v>
      </c>
    </row>
    <row r="426" spans="1:2" x14ac:dyDescent="0.3">
      <c r="A426" t="s">
        <v>853</v>
      </c>
      <c r="B426" t="s">
        <v>854</v>
      </c>
    </row>
    <row r="427" spans="1:2" x14ac:dyDescent="0.3">
      <c r="A427" t="s">
        <v>855</v>
      </c>
      <c r="B427" t="s">
        <v>856</v>
      </c>
    </row>
    <row r="428" spans="1:2" x14ac:dyDescent="0.3">
      <c r="A428" t="s">
        <v>857</v>
      </c>
      <c r="B428" t="s">
        <v>858</v>
      </c>
    </row>
    <row r="429" spans="1:2" x14ac:dyDescent="0.3">
      <c r="A429" t="s">
        <v>859</v>
      </c>
      <c r="B429" t="s">
        <v>860</v>
      </c>
    </row>
    <row r="430" spans="1:2" x14ac:dyDescent="0.3">
      <c r="A430" t="s">
        <v>861</v>
      </c>
      <c r="B430" t="s">
        <v>862</v>
      </c>
    </row>
    <row r="431" spans="1:2" x14ac:dyDescent="0.3">
      <c r="A431" t="s">
        <v>863</v>
      </c>
      <c r="B431" t="s">
        <v>864</v>
      </c>
    </row>
    <row r="432" spans="1:2" x14ac:dyDescent="0.3">
      <c r="A432" t="s">
        <v>865</v>
      </c>
      <c r="B432" t="s">
        <v>866</v>
      </c>
    </row>
    <row r="433" spans="1:2" x14ac:dyDescent="0.3">
      <c r="A433" t="s">
        <v>867</v>
      </c>
      <c r="B433" t="s">
        <v>868</v>
      </c>
    </row>
    <row r="434" spans="1:2" x14ac:dyDescent="0.3">
      <c r="A434" t="s">
        <v>869</v>
      </c>
      <c r="B434" t="s">
        <v>870</v>
      </c>
    </row>
    <row r="435" spans="1:2" x14ac:dyDescent="0.3">
      <c r="A435" t="s">
        <v>871</v>
      </c>
      <c r="B435" t="s">
        <v>872</v>
      </c>
    </row>
    <row r="436" spans="1:2" x14ac:dyDescent="0.3">
      <c r="A436" t="s">
        <v>873</v>
      </c>
      <c r="B436" t="s">
        <v>874</v>
      </c>
    </row>
    <row r="437" spans="1:2" x14ac:dyDescent="0.3">
      <c r="A437" t="s">
        <v>875</v>
      </c>
      <c r="B437" t="s">
        <v>876</v>
      </c>
    </row>
    <row r="438" spans="1:2" x14ac:dyDescent="0.3">
      <c r="A438" t="s">
        <v>877</v>
      </c>
      <c r="B438" t="s">
        <v>878</v>
      </c>
    </row>
    <row r="439" spans="1:2" x14ac:dyDescent="0.3">
      <c r="A439" t="s">
        <v>879</v>
      </c>
      <c r="B439" t="s">
        <v>880</v>
      </c>
    </row>
    <row r="440" spans="1:2" x14ac:dyDescent="0.3">
      <c r="A440" t="s">
        <v>881</v>
      </c>
      <c r="B440" t="s">
        <v>882</v>
      </c>
    </row>
    <row r="441" spans="1:2" x14ac:dyDescent="0.3">
      <c r="A441" t="s">
        <v>883</v>
      </c>
      <c r="B441" t="s">
        <v>884</v>
      </c>
    </row>
    <row r="442" spans="1:2" x14ac:dyDescent="0.3">
      <c r="A442" t="s">
        <v>885</v>
      </c>
      <c r="B442" t="s">
        <v>886</v>
      </c>
    </row>
    <row r="443" spans="1:2" x14ac:dyDescent="0.3">
      <c r="A443" t="s">
        <v>887</v>
      </c>
      <c r="B443" t="s">
        <v>888</v>
      </c>
    </row>
    <row r="444" spans="1:2" x14ac:dyDescent="0.3">
      <c r="A444" t="s">
        <v>889</v>
      </c>
      <c r="B444" t="s">
        <v>890</v>
      </c>
    </row>
    <row r="445" spans="1:2" x14ac:dyDescent="0.3">
      <c r="A445" t="s">
        <v>891</v>
      </c>
      <c r="B445" t="s">
        <v>892</v>
      </c>
    </row>
    <row r="446" spans="1:2" x14ac:dyDescent="0.3">
      <c r="A446" t="s">
        <v>893</v>
      </c>
      <c r="B446" t="s">
        <v>894</v>
      </c>
    </row>
    <row r="447" spans="1:2" x14ac:dyDescent="0.3">
      <c r="A447" t="s">
        <v>895</v>
      </c>
      <c r="B447" t="s">
        <v>896</v>
      </c>
    </row>
    <row r="448" spans="1:2" x14ac:dyDescent="0.3">
      <c r="A448" t="s">
        <v>897</v>
      </c>
      <c r="B448" t="s">
        <v>898</v>
      </c>
    </row>
    <row r="449" spans="1:2" x14ac:dyDescent="0.3">
      <c r="A449" t="s">
        <v>820</v>
      </c>
      <c r="B449" t="s">
        <v>899</v>
      </c>
    </row>
    <row r="450" spans="1:2" x14ac:dyDescent="0.3">
      <c r="A450" t="s">
        <v>900</v>
      </c>
      <c r="B450" t="s">
        <v>901</v>
      </c>
    </row>
    <row r="451" spans="1:2" x14ac:dyDescent="0.3">
      <c r="A451" t="s">
        <v>902</v>
      </c>
      <c r="B451" t="s">
        <v>903</v>
      </c>
    </row>
    <row r="452" spans="1:2" x14ac:dyDescent="0.3">
      <c r="A452" t="s">
        <v>904</v>
      </c>
      <c r="B452" t="s">
        <v>905</v>
      </c>
    </row>
    <row r="453" spans="1:2" x14ac:dyDescent="0.3">
      <c r="A453" t="s">
        <v>820</v>
      </c>
      <c r="B453" t="s">
        <v>906</v>
      </c>
    </row>
    <row r="454" spans="1:2" x14ac:dyDescent="0.3">
      <c r="A454" t="s">
        <v>820</v>
      </c>
      <c r="B454" t="s">
        <v>907</v>
      </c>
    </row>
    <row r="455" spans="1:2" x14ac:dyDescent="0.3">
      <c r="A455" t="s">
        <v>908</v>
      </c>
      <c r="B455" t="s">
        <v>909</v>
      </c>
    </row>
    <row r="456" spans="1:2" x14ac:dyDescent="0.3">
      <c r="A456" t="s">
        <v>910</v>
      </c>
      <c r="B456" t="s">
        <v>911</v>
      </c>
    </row>
    <row r="457" spans="1:2" x14ac:dyDescent="0.3">
      <c r="A457" t="s">
        <v>912</v>
      </c>
      <c r="B457" t="s">
        <v>913</v>
      </c>
    </row>
    <row r="458" spans="1:2" x14ac:dyDescent="0.3">
      <c r="A458" t="s">
        <v>820</v>
      </c>
      <c r="B458" t="s">
        <v>914</v>
      </c>
    </row>
    <row r="459" spans="1:2" x14ac:dyDescent="0.3">
      <c r="A459" t="s">
        <v>915</v>
      </c>
      <c r="B459" t="s">
        <v>916</v>
      </c>
    </row>
    <row r="460" spans="1:2" x14ac:dyDescent="0.3">
      <c r="A460" t="s">
        <v>917</v>
      </c>
      <c r="B460" t="s">
        <v>918</v>
      </c>
    </row>
    <row r="461" spans="1:2" x14ac:dyDescent="0.3">
      <c r="A461" t="s">
        <v>919</v>
      </c>
      <c r="B461" t="s">
        <v>920</v>
      </c>
    </row>
    <row r="462" spans="1:2" x14ac:dyDescent="0.3">
      <c r="A462" t="s">
        <v>921</v>
      </c>
      <c r="B462" t="s">
        <v>922</v>
      </c>
    </row>
    <row r="463" spans="1:2" x14ac:dyDescent="0.3">
      <c r="A463" t="s">
        <v>923</v>
      </c>
      <c r="B463" t="s">
        <v>924</v>
      </c>
    </row>
    <row r="464" spans="1:2" x14ac:dyDescent="0.3">
      <c r="A464" t="s">
        <v>925</v>
      </c>
      <c r="B464" t="s">
        <v>926</v>
      </c>
    </row>
    <row r="465" spans="1:2" x14ac:dyDescent="0.3">
      <c r="A465" t="s">
        <v>927</v>
      </c>
      <c r="B465" t="s">
        <v>928</v>
      </c>
    </row>
    <row r="466" spans="1:2" x14ac:dyDescent="0.3">
      <c r="A466" t="s">
        <v>929</v>
      </c>
      <c r="B466" t="s">
        <v>930</v>
      </c>
    </row>
    <row r="467" spans="1:2" x14ac:dyDescent="0.3">
      <c r="A467" t="s">
        <v>931</v>
      </c>
      <c r="B467" t="s">
        <v>932</v>
      </c>
    </row>
    <row r="468" spans="1:2" x14ac:dyDescent="0.3">
      <c r="A468" t="s">
        <v>933</v>
      </c>
      <c r="B468" t="s">
        <v>934</v>
      </c>
    </row>
    <row r="469" spans="1:2" x14ac:dyDescent="0.3">
      <c r="A469" t="s">
        <v>935</v>
      </c>
      <c r="B469" t="s">
        <v>936</v>
      </c>
    </row>
    <row r="470" spans="1:2" x14ac:dyDescent="0.3">
      <c r="A470" t="s">
        <v>937</v>
      </c>
      <c r="B470" t="s">
        <v>938</v>
      </c>
    </row>
    <row r="471" spans="1:2" x14ac:dyDescent="0.3">
      <c r="A471" t="s">
        <v>939</v>
      </c>
      <c r="B471" t="s">
        <v>940</v>
      </c>
    </row>
    <row r="472" spans="1:2" x14ac:dyDescent="0.3">
      <c r="A472" t="s">
        <v>941</v>
      </c>
      <c r="B472" t="s">
        <v>942</v>
      </c>
    </row>
    <row r="473" spans="1:2" x14ac:dyDescent="0.3">
      <c r="A473" t="s">
        <v>943</v>
      </c>
      <c r="B473" t="s">
        <v>944</v>
      </c>
    </row>
    <row r="474" spans="1:2" x14ac:dyDescent="0.3">
      <c r="A474" t="s">
        <v>945</v>
      </c>
      <c r="B474" t="s">
        <v>946</v>
      </c>
    </row>
    <row r="475" spans="1:2" x14ac:dyDescent="0.3">
      <c r="A475" t="s">
        <v>947</v>
      </c>
      <c r="B475" t="s">
        <v>948</v>
      </c>
    </row>
    <row r="476" spans="1:2" x14ac:dyDescent="0.3">
      <c r="A476" t="s">
        <v>949</v>
      </c>
      <c r="B476" t="s">
        <v>950</v>
      </c>
    </row>
    <row r="477" spans="1:2" x14ac:dyDescent="0.3">
      <c r="A477" t="s">
        <v>951</v>
      </c>
      <c r="B477" t="s">
        <v>952</v>
      </c>
    </row>
    <row r="478" spans="1:2" x14ac:dyDescent="0.3">
      <c r="A478" t="s">
        <v>953</v>
      </c>
      <c r="B478" t="s">
        <v>954</v>
      </c>
    </row>
    <row r="479" spans="1:2" x14ac:dyDescent="0.3">
      <c r="A479" t="s">
        <v>955</v>
      </c>
      <c r="B479" t="s">
        <v>956</v>
      </c>
    </row>
    <row r="480" spans="1:2" x14ac:dyDescent="0.3">
      <c r="A480" t="s">
        <v>957</v>
      </c>
      <c r="B480" t="s">
        <v>958</v>
      </c>
    </row>
    <row r="481" spans="1:2" x14ac:dyDescent="0.3">
      <c r="A481" t="s">
        <v>959</v>
      </c>
      <c r="B481" t="s">
        <v>960</v>
      </c>
    </row>
    <row r="482" spans="1:2" x14ac:dyDescent="0.3">
      <c r="A482" t="s">
        <v>961</v>
      </c>
      <c r="B482" t="s">
        <v>962</v>
      </c>
    </row>
    <row r="483" spans="1:2" x14ac:dyDescent="0.3">
      <c r="A483" t="s">
        <v>963</v>
      </c>
      <c r="B483" t="s">
        <v>964</v>
      </c>
    </row>
    <row r="484" spans="1:2" x14ac:dyDescent="0.3">
      <c r="A484" t="s">
        <v>965</v>
      </c>
      <c r="B484" t="s">
        <v>966</v>
      </c>
    </row>
    <row r="485" spans="1:2" x14ac:dyDescent="0.3">
      <c r="A485" t="s">
        <v>967</v>
      </c>
      <c r="B485" t="s">
        <v>968</v>
      </c>
    </row>
    <row r="486" spans="1:2" x14ac:dyDescent="0.3">
      <c r="A486" t="s">
        <v>969</v>
      </c>
      <c r="B486" t="s">
        <v>970</v>
      </c>
    </row>
    <row r="487" spans="1:2" x14ac:dyDescent="0.3">
      <c r="A487" t="s">
        <v>971</v>
      </c>
      <c r="B487" t="s">
        <v>972</v>
      </c>
    </row>
    <row r="488" spans="1:2" x14ac:dyDescent="0.3">
      <c r="A488" t="s">
        <v>973</v>
      </c>
      <c r="B488" t="s">
        <v>974</v>
      </c>
    </row>
    <row r="489" spans="1:2" x14ac:dyDescent="0.3">
      <c r="A489" t="s">
        <v>975</v>
      </c>
      <c r="B489" t="s">
        <v>976</v>
      </c>
    </row>
    <row r="490" spans="1:2" x14ac:dyDescent="0.3">
      <c r="A490" t="s">
        <v>977</v>
      </c>
      <c r="B490" t="s">
        <v>978</v>
      </c>
    </row>
    <row r="491" spans="1:2" x14ac:dyDescent="0.3">
      <c r="A491" t="s">
        <v>979</v>
      </c>
      <c r="B491" t="s">
        <v>980</v>
      </c>
    </row>
    <row r="492" spans="1:2" x14ac:dyDescent="0.3">
      <c r="A492" t="s">
        <v>981</v>
      </c>
      <c r="B492" t="s">
        <v>982</v>
      </c>
    </row>
    <row r="493" spans="1:2" x14ac:dyDescent="0.3">
      <c r="A493" t="s">
        <v>983</v>
      </c>
      <c r="B493" t="s">
        <v>984</v>
      </c>
    </row>
    <row r="494" spans="1:2" x14ac:dyDescent="0.3">
      <c r="A494" t="s">
        <v>985</v>
      </c>
      <c r="B494" t="s">
        <v>986</v>
      </c>
    </row>
    <row r="495" spans="1:2" x14ac:dyDescent="0.3">
      <c r="A495" t="s">
        <v>987</v>
      </c>
      <c r="B495" t="s">
        <v>988</v>
      </c>
    </row>
    <row r="496" spans="1:2" x14ac:dyDescent="0.3">
      <c r="A496" t="s">
        <v>989</v>
      </c>
      <c r="B496" t="s">
        <v>990</v>
      </c>
    </row>
    <row r="497" spans="1:2" x14ac:dyDescent="0.3">
      <c r="A497" t="s">
        <v>991</v>
      </c>
      <c r="B497" t="s">
        <v>992</v>
      </c>
    </row>
    <row r="498" spans="1:2" x14ac:dyDescent="0.3">
      <c r="A498" t="s">
        <v>993</v>
      </c>
      <c r="B498" t="s">
        <v>994</v>
      </c>
    </row>
    <row r="499" spans="1:2" x14ac:dyDescent="0.3">
      <c r="A499" t="s">
        <v>995</v>
      </c>
      <c r="B499" t="s">
        <v>996</v>
      </c>
    </row>
    <row r="500" spans="1:2" x14ac:dyDescent="0.3">
      <c r="A500" t="s">
        <v>997</v>
      </c>
      <c r="B500" t="s">
        <v>998</v>
      </c>
    </row>
    <row r="501" spans="1:2" x14ac:dyDescent="0.3">
      <c r="A501" t="s">
        <v>999</v>
      </c>
      <c r="B501" t="s">
        <v>1000</v>
      </c>
    </row>
    <row r="502" spans="1:2" x14ac:dyDescent="0.3">
      <c r="A502" t="s">
        <v>1001</v>
      </c>
      <c r="B502" t="s">
        <v>1002</v>
      </c>
    </row>
    <row r="503" spans="1:2" x14ac:dyDescent="0.3">
      <c r="A503" t="s">
        <v>1003</v>
      </c>
      <c r="B503" t="s">
        <v>1004</v>
      </c>
    </row>
    <row r="504" spans="1:2" x14ac:dyDescent="0.3">
      <c r="A504" t="s">
        <v>1005</v>
      </c>
      <c r="B504" t="s">
        <v>1006</v>
      </c>
    </row>
    <row r="505" spans="1:2" x14ac:dyDescent="0.3">
      <c r="A505" t="s">
        <v>1007</v>
      </c>
      <c r="B505" t="s">
        <v>1008</v>
      </c>
    </row>
    <row r="506" spans="1:2" x14ac:dyDescent="0.3">
      <c r="A506" t="s">
        <v>1009</v>
      </c>
      <c r="B506" t="s">
        <v>1010</v>
      </c>
    </row>
    <row r="507" spans="1:2" x14ac:dyDescent="0.3">
      <c r="A507" t="s">
        <v>1011</v>
      </c>
      <c r="B507" t="s">
        <v>1012</v>
      </c>
    </row>
    <row r="508" spans="1:2" x14ac:dyDescent="0.3">
      <c r="A508" t="s">
        <v>1013</v>
      </c>
      <c r="B508" t="s">
        <v>1014</v>
      </c>
    </row>
    <row r="509" spans="1:2" x14ac:dyDescent="0.3">
      <c r="A509" t="s">
        <v>1015</v>
      </c>
      <c r="B509" t="s">
        <v>1016</v>
      </c>
    </row>
    <row r="510" spans="1:2" x14ac:dyDescent="0.3">
      <c r="A510" t="s">
        <v>1017</v>
      </c>
      <c r="B510" t="s">
        <v>1018</v>
      </c>
    </row>
    <row r="511" spans="1:2" x14ac:dyDescent="0.3">
      <c r="A511" t="s">
        <v>820</v>
      </c>
      <c r="B511" t="s">
        <v>1019</v>
      </c>
    </row>
    <row r="512" spans="1:2" x14ac:dyDescent="0.3">
      <c r="A512" t="s">
        <v>1020</v>
      </c>
      <c r="B512" t="s">
        <v>1021</v>
      </c>
    </row>
    <row r="513" spans="1:2" x14ac:dyDescent="0.3">
      <c r="A513" t="s">
        <v>1022</v>
      </c>
      <c r="B513" t="s">
        <v>1023</v>
      </c>
    </row>
    <row r="514" spans="1:2" x14ac:dyDescent="0.3">
      <c r="A514" t="s">
        <v>1024</v>
      </c>
      <c r="B514" t="s">
        <v>1025</v>
      </c>
    </row>
    <row r="515" spans="1:2" x14ac:dyDescent="0.3">
      <c r="A515" t="s">
        <v>1026</v>
      </c>
      <c r="B515" t="s">
        <v>1027</v>
      </c>
    </row>
    <row r="516" spans="1:2" x14ac:dyDescent="0.3">
      <c r="A516" t="s">
        <v>1028</v>
      </c>
      <c r="B516" t="s">
        <v>1029</v>
      </c>
    </row>
    <row r="517" spans="1:2" x14ac:dyDescent="0.3">
      <c r="A517" t="s">
        <v>1030</v>
      </c>
      <c r="B517" t="s">
        <v>1031</v>
      </c>
    </row>
    <row r="518" spans="1:2" x14ac:dyDescent="0.3">
      <c r="A518" t="s">
        <v>1032</v>
      </c>
      <c r="B518" t="s">
        <v>1033</v>
      </c>
    </row>
    <row r="519" spans="1:2" x14ac:dyDescent="0.3">
      <c r="A519" t="s">
        <v>1034</v>
      </c>
      <c r="B519" t="s">
        <v>1035</v>
      </c>
    </row>
    <row r="520" spans="1:2" x14ac:dyDescent="0.3">
      <c r="A520" t="s">
        <v>1036</v>
      </c>
      <c r="B520" t="s">
        <v>1037</v>
      </c>
    </row>
    <row r="521" spans="1:2" x14ac:dyDescent="0.3">
      <c r="A521" t="s">
        <v>1038</v>
      </c>
      <c r="B521" t="s">
        <v>1039</v>
      </c>
    </row>
    <row r="522" spans="1:2" x14ac:dyDescent="0.3">
      <c r="A522" t="s">
        <v>1040</v>
      </c>
      <c r="B522" t="s">
        <v>1041</v>
      </c>
    </row>
    <row r="523" spans="1:2" x14ac:dyDescent="0.3">
      <c r="A523" t="s">
        <v>1042</v>
      </c>
      <c r="B523" t="s">
        <v>1043</v>
      </c>
    </row>
    <row r="524" spans="1:2" x14ac:dyDescent="0.3">
      <c r="A524" t="s">
        <v>1044</v>
      </c>
      <c r="B524" t="s">
        <v>1045</v>
      </c>
    </row>
    <row r="525" spans="1:2" x14ac:dyDescent="0.3">
      <c r="A525" t="s">
        <v>1046</v>
      </c>
      <c r="B525" t="s">
        <v>1047</v>
      </c>
    </row>
    <row r="526" spans="1:2" x14ac:dyDescent="0.3">
      <c r="A526" t="s">
        <v>1048</v>
      </c>
      <c r="B526" t="s">
        <v>1049</v>
      </c>
    </row>
    <row r="527" spans="1:2" x14ac:dyDescent="0.3">
      <c r="A527" t="s">
        <v>1050</v>
      </c>
      <c r="B527" t="s">
        <v>1051</v>
      </c>
    </row>
    <row r="528" spans="1:2" x14ac:dyDescent="0.3">
      <c r="A528" t="s">
        <v>1052</v>
      </c>
      <c r="B528" t="s">
        <v>1053</v>
      </c>
    </row>
    <row r="529" spans="1:2" x14ac:dyDescent="0.3">
      <c r="A529" t="s">
        <v>1054</v>
      </c>
      <c r="B529" t="s">
        <v>1055</v>
      </c>
    </row>
    <row r="530" spans="1:2" x14ac:dyDescent="0.3">
      <c r="A530" t="s">
        <v>1056</v>
      </c>
      <c r="B530" t="s">
        <v>1057</v>
      </c>
    </row>
    <row r="531" spans="1:2" x14ac:dyDescent="0.3">
      <c r="A531" t="s">
        <v>1058</v>
      </c>
      <c r="B531" t="s">
        <v>1059</v>
      </c>
    </row>
    <row r="532" spans="1:2" x14ac:dyDescent="0.3">
      <c r="A532" t="s">
        <v>1060</v>
      </c>
      <c r="B532" t="s">
        <v>1061</v>
      </c>
    </row>
    <row r="533" spans="1:2" x14ac:dyDescent="0.3">
      <c r="A533" t="s">
        <v>1062</v>
      </c>
      <c r="B533" t="s">
        <v>1063</v>
      </c>
    </row>
    <row r="534" spans="1:2" x14ac:dyDescent="0.3">
      <c r="A534" t="s">
        <v>1064</v>
      </c>
      <c r="B534" t="s">
        <v>1065</v>
      </c>
    </row>
    <row r="535" spans="1:2" x14ac:dyDescent="0.3">
      <c r="A535" t="s">
        <v>1066</v>
      </c>
      <c r="B535" t="s">
        <v>1067</v>
      </c>
    </row>
    <row r="536" spans="1:2" x14ac:dyDescent="0.3">
      <c r="A536" t="s">
        <v>1068</v>
      </c>
      <c r="B536" t="s">
        <v>1069</v>
      </c>
    </row>
    <row r="537" spans="1:2" x14ac:dyDescent="0.3">
      <c r="A537" t="s">
        <v>1070</v>
      </c>
      <c r="B537" t="s">
        <v>1071</v>
      </c>
    </row>
    <row r="538" spans="1:2" x14ac:dyDescent="0.3">
      <c r="A538" t="s">
        <v>1072</v>
      </c>
      <c r="B538" t="s">
        <v>1073</v>
      </c>
    </row>
    <row r="539" spans="1:2" x14ac:dyDescent="0.3">
      <c r="A539" t="s">
        <v>1074</v>
      </c>
      <c r="B539" t="s">
        <v>1075</v>
      </c>
    </row>
    <row r="540" spans="1:2" x14ac:dyDescent="0.3">
      <c r="A540" t="s">
        <v>1076</v>
      </c>
      <c r="B540" t="s">
        <v>1077</v>
      </c>
    </row>
    <row r="541" spans="1:2" x14ac:dyDescent="0.3">
      <c r="A541" t="s">
        <v>1078</v>
      </c>
      <c r="B541" t="s">
        <v>1079</v>
      </c>
    </row>
    <row r="542" spans="1:2" x14ac:dyDescent="0.3">
      <c r="A542" t="s">
        <v>1080</v>
      </c>
      <c r="B542" t="s">
        <v>1081</v>
      </c>
    </row>
    <row r="543" spans="1:2" x14ac:dyDescent="0.3">
      <c r="A543" t="s">
        <v>1082</v>
      </c>
      <c r="B543" t="s">
        <v>1083</v>
      </c>
    </row>
    <row r="544" spans="1:2" x14ac:dyDescent="0.3">
      <c r="A544" t="s">
        <v>1084</v>
      </c>
      <c r="B544" t="s">
        <v>1085</v>
      </c>
    </row>
    <row r="545" spans="1:2" x14ac:dyDescent="0.3">
      <c r="A545" t="s">
        <v>1086</v>
      </c>
      <c r="B545" t="s">
        <v>1087</v>
      </c>
    </row>
    <row r="546" spans="1:2" x14ac:dyDescent="0.3">
      <c r="A546" t="s">
        <v>1088</v>
      </c>
      <c r="B546" t="s">
        <v>1089</v>
      </c>
    </row>
    <row r="547" spans="1:2" x14ac:dyDescent="0.3">
      <c r="A547" t="s">
        <v>1090</v>
      </c>
      <c r="B547" t="s">
        <v>1091</v>
      </c>
    </row>
    <row r="548" spans="1:2" x14ac:dyDescent="0.3">
      <c r="A548" t="s">
        <v>1092</v>
      </c>
      <c r="B548" t="s">
        <v>1093</v>
      </c>
    </row>
    <row r="549" spans="1:2" x14ac:dyDescent="0.3">
      <c r="A549" t="s">
        <v>1094</v>
      </c>
      <c r="B549" t="s">
        <v>1095</v>
      </c>
    </row>
    <row r="550" spans="1:2" x14ac:dyDescent="0.3">
      <c r="A550" t="s">
        <v>1096</v>
      </c>
      <c r="B550" t="s">
        <v>1097</v>
      </c>
    </row>
    <row r="551" spans="1:2" x14ac:dyDescent="0.3">
      <c r="A551" t="s">
        <v>1098</v>
      </c>
      <c r="B551" t="s">
        <v>1099</v>
      </c>
    </row>
    <row r="552" spans="1:2" x14ac:dyDescent="0.3">
      <c r="A552" t="s">
        <v>1100</v>
      </c>
      <c r="B552" t="s">
        <v>1101</v>
      </c>
    </row>
    <row r="553" spans="1:2" x14ac:dyDescent="0.3">
      <c r="A553" t="s">
        <v>1102</v>
      </c>
      <c r="B553" t="s">
        <v>1103</v>
      </c>
    </row>
    <row r="554" spans="1:2" x14ac:dyDescent="0.3">
      <c r="A554" t="s">
        <v>1104</v>
      </c>
      <c r="B554" t="s">
        <v>1105</v>
      </c>
    </row>
    <row r="555" spans="1:2" x14ac:dyDescent="0.3">
      <c r="A555" t="s">
        <v>1106</v>
      </c>
      <c r="B555" t="s">
        <v>1107</v>
      </c>
    </row>
    <row r="556" spans="1:2" x14ac:dyDescent="0.3">
      <c r="A556" t="s">
        <v>1108</v>
      </c>
      <c r="B556" t="s">
        <v>1109</v>
      </c>
    </row>
    <row r="557" spans="1:2" x14ac:dyDescent="0.3">
      <c r="A557" t="s">
        <v>1110</v>
      </c>
      <c r="B557" t="s">
        <v>1111</v>
      </c>
    </row>
    <row r="558" spans="1:2" x14ac:dyDescent="0.3">
      <c r="A558" t="s">
        <v>1112</v>
      </c>
      <c r="B558" t="s">
        <v>1113</v>
      </c>
    </row>
    <row r="559" spans="1:2" x14ac:dyDescent="0.3">
      <c r="A559" t="s">
        <v>1114</v>
      </c>
      <c r="B559" t="s">
        <v>1115</v>
      </c>
    </row>
    <row r="560" spans="1:2" x14ac:dyDescent="0.3">
      <c r="A560" t="s">
        <v>1116</v>
      </c>
      <c r="B560" t="s">
        <v>1117</v>
      </c>
    </row>
    <row r="561" spans="1:2" x14ac:dyDescent="0.3">
      <c r="A561" t="s">
        <v>1118</v>
      </c>
      <c r="B561" t="s">
        <v>1119</v>
      </c>
    </row>
    <row r="562" spans="1:2" x14ac:dyDescent="0.3">
      <c r="A562" t="s">
        <v>1120</v>
      </c>
      <c r="B562" t="s">
        <v>1121</v>
      </c>
    </row>
    <row r="563" spans="1:2" x14ac:dyDescent="0.3">
      <c r="A563" t="s">
        <v>1122</v>
      </c>
      <c r="B563" t="s">
        <v>1123</v>
      </c>
    </row>
    <row r="564" spans="1:2" x14ac:dyDescent="0.3">
      <c r="A564" t="s">
        <v>1124</v>
      </c>
      <c r="B564" t="s">
        <v>1125</v>
      </c>
    </row>
    <row r="565" spans="1:2" x14ac:dyDescent="0.3">
      <c r="A565" t="s">
        <v>1126</v>
      </c>
      <c r="B565" t="s">
        <v>1127</v>
      </c>
    </row>
    <row r="566" spans="1:2" x14ac:dyDescent="0.3">
      <c r="A566" t="s">
        <v>1128</v>
      </c>
      <c r="B566" t="s">
        <v>1129</v>
      </c>
    </row>
    <row r="567" spans="1:2" x14ac:dyDescent="0.3">
      <c r="A567" t="s">
        <v>1130</v>
      </c>
      <c r="B567" t="s">
        <v>1131</v>
      </c>
    </row>
    <row r="568" spans="1:2" x14ac:dyDescent="0.3">
      <c r="A568" t="s">
        <v>1132</v>
      </c>
      <c r="B568" t="s">
        <v>1133</v>
      </c>
    </row>
    <row r="569" spans="1:2" x14ac:dyDescent="0.3">
      <c r="A569" t="s">
        <v>1134</v>
      </c>
      <c r="B569" t="s">
        <v>1135</v>
      </c>
    </row>
    <row r="570" spans="1:2" x14ac:dyDescent="0.3">
      <c r="A570" t="s">
        <v>1136</v>
      </c>
      <c r="B570" t="s">
        <v>1137</v>
      </c>
    </row>
    <row r="571" spans="1:2" x14ac:dyDescent="0.3">
      <c r="A571" t="s">
        <v>1138</v>
      </c>
      <c r="B571" t="s">
        <v>1139</v>
      </c>
    </row>
    <row r="572" spans="1:2" x14ac:dyDescent="0.3">
      <c r="A572" t="s">
        <v>1140</v>
      </c>
      <c r="B572" t="s">
        <v>1141</v>
      </c>
    </row>
    <row r="573" spans="1:2" x14ac:dyDescent="0.3">
      <c r="A573" t="s">
        <v>1142</v>
      </c>
      <c r="B573" t="s">
        <v>1143</v>
      </c>
    </row>
    <row r="574" spans="1:2" x14ac:dyDescent="0.3">
      <c r="A574" t="s">
        <v>1144</v>
      </c>
      <c r="B574" t="s">
        <v>1145</v>
      </c>
    </row>
    <row r="575" spans="1:2" x14ac:dyDescent="0.3">
      <c r="A575" t="s">
        <v>1146</v>
      </c>
      <c r="B575" t="s">
        <v>1147</v>
      </c>
    </row>
    <row r="576" spans="1:2" x14ac:dyDescent="0.3">
      <c r="A576" t="s">
        <v>1148</v>
      </c>
      <c r="B576" t="s">
        <v>1149</v>
      </c>
    </row>
    <row r="577" spans="1:2" x14ac:dyDescent="0.3">
      <c r="A577" t="s">
        <v>1150</v>
      </c>
      <c r="B577" t="s">
        <v>1151</v>
      </c>
    </row>
    <row r="578" spans="1:2" x14ac:dyDescent="0.3">
      <c r="A578" t="s">
        <v>1152</v>
      </c>
      <c r="B578" t="s">
        <v>1153</v>
      </c>
    </row>
    <row r="579" spans="1:2" x14ac:dyDescent="0.3">
      <c r="A579" t="s">
        <v>1154</v>
      </c>
      <c r="B579" t="s">
        <v>1155</v>
      </c>
    </row>
    <row r="580" spans="1:2" x14ac:dyDescent="0.3">
      <c r="A580" t="s">
        <v>1156</v>
      </c>
      <c r="B580" t="s">
        <v>1157</v>
      </c>
    </row>
    <row r="581" spans="1:2" x14ac:dyDescent="0.3">
      <c r="A581" t="s">
        <v>1158</v>
      </c>
      <c r="B581" t="s">
        <v>1159</v>
      </c>
    </row>
    <row r="582" spans="1:2" x14ac:dyDescent="0.3">
      <c r="A582" t="s">
        <v>1160</v>
      </c>
      <c r="B582" t="s">
        <v>1161</v>
      </c>
    </row>
    <row r="583" spans="1:2" x14ac:dyDescent="0.3">
      <c r="A583" t="s">
        <v>1162</v>
      </c>
      <c r="B583" t="s">
        <v>1163</v>
      </c>
    </row>
    <row r="584" spans="1:2" x14ac:dyDescent="0.3">
      <c r="A584" t="s">
        <v>1164</v>
      </c>
      <c r="B584" t="s">
        <v>1165</v>
      </c>
    </row>
    <row r="585" spans="1:2" x14ac:dyDescent="0.3">
      <c r="A585" t="s">
        <v>1166</v>
      </c>
      <c r="B585" t="s">
        <v>1167</v>
      </c>
    </row>
    <row r="586" spans="1:2" x14ac:dyDescent="0.3">
      <c r="A586" t="s">
        <v>1168</v>
      </c>
      <c r="B586" t="s">
        <v>1169</v>
      </c>
    </row>
    <row r="587" spans="1:2" x14ac:dyDescent="0.3">
      <c r="A587" t="s">
        <v>1170</v>
      </c>
      <c r="B587" t="s">
        <v>1171</v>
      </c>
    </row>
    <row r="588" spans="1:2" x14ac:dyDescent="0.3">
      <c r="A588" t="s">
        <v>1172</v>
      </c>
      <c r="B588" t="s">
        <v>1173</v>
      </c>
    </row>
    <row r="589" spans="1:2" x14ac:dyDescent="0.3">
      <c r="A589" t="s">
        <v>1174</v>
      </c>
      <c r="B589" t="s">
        <v>1175</v>
      </c>
    </row>
    <row r="590" spans="1:2" x14ac:dyDescent="0.3">
      <c r="A590" t="s">
        <v>1176</v>
      </c>
      <c r="B590" t="s">
        <v>1177</v>
      </c>
    </row>
    <row r="591" spans="1:2" x14ac:dyDescent="0.3">
      <c r="A591" t="s">
        <v>1178</v>
      </c>
      <c r="B591" t="s">
        <v>1179</v>
      </c>
    </row>
    <row r="592" spans="1:2" x14ac:dyDescent="0.3">
      <c r="A592" t="s">
        <v>1180</v>
      </c>
      <c r="B592" t="s">
        <v>1181</v>
      </c>
    </row>
    <row r="593" spans="1:2" x14ac:dyDescent="0.3">
      <c r="A593" t="s">
        <v>1182</v>
      </c>
      <c r="B593" t="s">
        <v>1183</v>
      </c>
    </row>
    <row r="594" spans="1:2" x14ac:dyDescent="0.3">
      <c r="A594" t="s">
        <v>1184</v>
      </c>
      <c r="B594" t="s">
        <v>1185</v>
      </c>
    </row>
    <row r="595" spans="1:2" x14ac:dyDescent="0.3">
      <c r="A595" t="s">
        <v>1186</v>
      </c>
      <c r="B595" t="s">
        <v>1187</v>
      </c>
    </row>
    <row r="596" spans="1:2" x14ac:dyDescent="0.3">
      <c r="A596" t="s">
        <v>1188</v>
      </c>
      <c r="B596" t="s">
        <v>1189</v>
      </c>
    </row>
    <row r="597" spans="1:2" x14ac:dyDescent="0.3">
      <c r="A597" t="s">
        <v>1190</v>
      </c>
      <c r="B597" t="s">
        <v>1191</v>
      </c>
    </row>
    <row r="598" spans="1:2" x14ac:dyDescent="0.3">
      <c r="A598" t="s">
        <v>1192</v>
      </c>
      <c r="B598" t="s">
        <v>1193</v>
      </c>
    </row>
    <row r="599" spans="1:2" x14ac:dyDescent="0.3">
      <c r="A599" t="s">
        <v>1194</v>
      </c>
      <c r="B599" t="s">
        <v>1195</v>
      </c>
    </row>
    <row r="600" spans="1:2" x14ac:dyDescent="0.3">
      <c r="A600" t="s">
        <v>1196</v>
      </c>
      <c r="B600" t="s">
        <v>1197</v>
      </c>
    </row>
    <row r="601" spans="1:2" x14ac:dyDescent="0.3">
      <c r="A601" t="s">
        <v>1198</v>
      </c>
      <c r="B601" t="s">
        <v>1199</v>
      </c>
    </row>
    <row r="602" spans="1:2" x14ac:dyDescent="0.3">
      <c r="A602" t="s">
        <v>1200</v>
      </c>
      <c r="B602" t="s">
        <v>1201</v>
      </c>
    </row>
    <row r="603" spans="1:2" x14ac:dyDescent="0.3">
      <c r="A603" t="s">
        <v>1202</v>
      </c>
      <c r="B603" t="s">
        <v>1203</v>
      </c>
    </row>
    <row r="604" spans="1:2" x14ac:dyDescent="0.3">
      <c r="A604" t="s">
        <v>1204</v>
      </c>
      <c r="B604" t="s">
        <v>1205</v>
      </c>
    </row>
    <row r="605" spans="1:2" x14ac:dyDescent="0.3">
      <c r="A605" t="s">
        <v>1206</v>
      </c>
      <c r="B605" t="s">
        <v>1207</v>
      </c>
    </row>
    <row r="606" spans="1:2" x14ac:dyDescent="0.3">
      <c r="A606" t="s">
        <v>1208</v>
      </c>
      <c r="B606" t="s">
        <v>1209</v>
      </c>
    </row>
    <row r="607" spans="1:2" x14ac:dyDescent="0.3">
      <c r="A607" t="s">
        <v>1210</v>
      </c>
      <c r="B607" t="s">
        <v>1211</v>
      </c>
    </row>
    <row r="608" spans="1:2" x14ac:dyDescent="0.3">
      <c r="A608" t="s">
        <v>1212</v>
      </c>
      <c r="B608" t="s">
        <v>1213</v>
      </c>
    </row>
    <row r="609" spans="1:2" x14ac:dyDescent="0.3">
      <c r="A609" t="s">
        <v>1214</v>
      </c>
      <c r="B609" t="s">
        <v>1215</v>
      </c>
    </row>
    <row r="610" spans="1:2" x14ac:dyDescent="0.3">
      <c r="A610" t="s">
        <v>1216</v>
      </c>
      <c r="B610" t="s">
        <v>1217</v>
      </c>
    </row>
    <row r="611" spans="1:2" x14ac:dyDescent="0.3">
      <c r="A611" t="s">
        <v>1218</v>
      </c>
      <c r="B611" t="s">
        <v>1219</v>
      </c>
    </row>
    <row r="612" spans="1:2" x14ac:dyDescent="0.3">
      <c r="A612" t="s">
        <v>1220</v>
      </c>
      <c r="B612" t="s">
        <v>1221</v>
      </c>
    </row>
    <row r="613" spans="1:2" x14ac:dyDescent="0.3">
      <c r="A613" t="s">
        <v>1222</v>
      </c>
      <c r="B613" t="s">
        <v>1223</v>
      </c>
    </row>
    <row r="614" spans="1:2" x14ac:dyDescent="0.3">
      <c r="A614" t="s">
        <v>1224</v>
      </c>
      <c r="B614" t="s">
        <v>1225</v>
      </c>
    </row>
    <row r="615" spans="1:2" x14ac:dyDescent="0.3">
      <c r="A615" t="s">
        <v>1226</v>
      </c>
      <c r="B615" t="s">
        <v>1227</v>
      </c>
    </row>
    <row r="616" spans="1:2" x14ac:dyDescent="0.3">
      <c r="A616" t="s">
        <v>1228</v>
      </c>
      <c r="B616" t="s">
        <v>1229</v>
      </c>
    </row>
    <row r="617" spans="1:2" x14ac:dyDescent="0.3">
      <c r="A617" t="s">
        <v>1230</v>
      </c>
      <c r="B617" t="s">
        <v>1231</v>
      </c>
    </row>
    <row r="618" spans="1:2" x14ac:dyDescent="0.3">
      <c r="A618" t="s">
        <v>1232</v>
      </c>
      <c r="B618" t="s">
        <v>1233</v>
      </c>
    </row>
    <row r="619" spans="1:2" x14ac:dyDescent="0.3">
      <c r="A619" t="s">
        <v>1234</v>
      </c>
      <c r="B619" t="s">
        <v>1235</v>
      </c>
    </row>
    <row r="620" spans="1:2" x14ac:dyDescent="0.3">
      <c r="A620" t="s">
        <v>1236</v>
      </c>
      <c r="B620" t="s">
        <v>1237</v>
      </c>
    </row>
    <row r="621" spans="1:2" x14ac:dyDescent="0.3">
      <c r="A621" t="s">
        <v>1238</v>
      </c>
      <c r="B621" t="s">
        <v>1239</v>
      </c>
    </row>
    <row r="622" spans="1:2" x14ac:dyDescent="0.3">
      <c r="A622" t="s">
        <v>1240</v>
      </c>
      <c r="B622" t="s">
        <v>1241</v>
      </c>
    </row>
    <row r="623" spans="1:2" x14ac:dyDescent="0.3">
      <c r="A623" t="s">
        <v>1242</v>
      </c>
      <c r="B623" t="s">
        <v>1243</v>
      </c>
    </row>
    <row r="624" spans="1:2" x14ac:dyDescent="0.3">
      <c r="A624" t="s">
        <v>1244</v>
      </c>
      <c r="B624" t="s">
        <v>1245</v>
      </c>
    </row>
    <row r="625" spans="1:2" x14ac:dyDescent="0.3">
      <c r="A625" t="s">
        <v>1246</v>
      </c>
      <c r="B625" t="s">
        <v>1247</v>
      </c>
    </row>
    <row r="626" spans="1:2" x14ac:dyDescent="0.3">
      <c r="A626" t="s">
        <v>1248</v>
      </c>
      <c r="B626" t="s">
        <v>1249</v>
      </c>
    </row>
    <row r="627" spans="1:2" x14ac:dyDescent="0.3">
      <c r="A627" t="s">
        <v>1250</v>
      </c>
      <c r="B627" t="s">
        <v>1251</v>
      </c>
    </row>
    <row r="628" spans="1:2" x14ac:dyDescent="0.3">
      <c r="A628" t="s">
        <v>1252</v>
      </c>
      <c r="B628" t="s">
        <v>1253</v>
      </c>
    </row>
    <row r="629" spans="1:2" x14ac:dyDescent="0.3">
      <c r="A629" t="s">
        <v>1254</v>
      </c>
      <c r="B629" t="s">
        <v>1255</v>
      </c>
    </row>
    <row r="630" spans="1:2" x14ac:dyDescent="0.3">
      <c r="A630" t="s">
        <v>1256</v>
      </c>
      <c r="B630" t="s">
        <v>1257</v>
      </c>
    </row>
    <row r="631" spans="1:2" x14ac:dyDescent="0.3">
      <c r="A631" t="s">
        <v>1258</v>
      </c>
      <c r="B631" t="s">
        <v>1259</v>
      </c>
    </row>
    <row r="632" spans="1:2" x14ac:dyDescent="0.3">
      <c r="A632" t="s">
        <v>1260</v>
      </c>
      <c r="B632" t="s">
        <v>1261</v>
      </c>
    </row>
    <row r="633" spans="1:2" x14ac:dyDescent="0.3">
      <c r="A633" t="s">
        <v>1262</v>
      </c>
      <c r="B633" t="s">
        <v>1263</v>
      </c>
    </row>
    <row r="634" spans="1:2" x14ac:dyDescent="0.3">
      <c r="A634" t="s">
        <v>1264</v>
      </c>
      <c r="B634" t="s">
        <v>1265</v>
      </c>
    </row>
    <row r="635" spans="1:2" x14ac:dyDescent="0.3">
      <c r="A635" t="s">
        <v>1266</v>
      </c>
      <c r="B635" t="s">
        <v>1267</v>
      </c>
    </row>
    <row r="636" spans="1:2" x14ac:dyDescent="0.3">
      <c r="A636" t="s">
        <v>1268</v>
      </c>
      <c r="B636" t="s">
        <v>1269</v>
      </c>
    </row>
    <row r="637" spans="1:2" x14ac:dyDescent="0.3">
      <c r="A637" t="s">
        <v>1270</v>
      </c>
      <c r="B637" t="s">
        <v>1271</v>
      </c>
    </row>
    <row r="638" spans="1:2" x14ac:dyDescent="0.3">
      <c r="A638" t="s">
        <v>1272</v>
      </c>
      <c r="B638" t="s">
        <v>1273</v>
      </c>
    </row>
    <row r="639" spans="1:2" x14ac:dyDescent="0.3">
      <c r="A639" t="s">
        <v>1274</v>
      </c>
      <c r="B639" t="s">
        <v>1275</v>
      </c>
    </row>
    <row r="640" spans="1:2" x14ac:dyDescent="0.3">
      <c r="A640" t="s">
        <v>1276</v>
      </c>
      <c r="B640" t="s">
        <v>1277</v>
      </c>
    </row>
    <row r="641" spans="1:2" x14ac:dyDescent="0.3">
      <c r="A641" t="s">
        <v>1278</v>
      </c>
      <c r="B641" t="s">
        <v>1279</v>
      </c>
    </row>
    <row r="642" spans="1:2" x14ac:dyDescent="0.3">
      <c r="A642" t="s">
        <v>1280</v>
      </c>
      <c r="B642" t="s">
        <v>1281</v>
      </c>
    </row>
    <row r="643" spans="1:2" x14ac:dyDescent="0.3">
      <c r="A643" t="s">
        <v>1282</v>
      </c>
      <c r="B643" t="s">
        <v>1283</v>
      </c>
    </row>
    <row r="644" spans="1:2" x14ac:dyDescent="0.3">
      <c r="A644" t="s">
        <v>1284</v>
      </c>
      <c r="B644" t="s">
        <v>1285</v>
      </c>
    </row>
    <row r="645" spans="1:2" x14ac:dyDescent="0.3">
      <c r="A645" t="s">
        <v>1286</v>
      </c>
      <c r="B645" t="s">
        <v>1287</v>
      </c>
    </row>
    <row r="646" spans="1:2" x14ac:dyDescent="0.3">
      <c r="A646" t="s">
        <v>1288</v>
      </c>
      <c r="B646" t="s">
        <v>1289</v>
      </c>
    </row>
    <row r="647" spans="1:2" x14ac:dyDescent="0.3">
      <c r="A647" t="s">
        <v>1290</v>
      </c>
      <c r="B647" t="s">
        <v>1291</v>
      </c>
    </row>
    <row r="648" spans="1:2" x14ac:dyDescent="0.3">
      <c r="A648" t="s">
        <v>1292</v>
      </c>
      <c r="B648" t="s">
        <v>1293</v>
      </c>
    </row>
    <row r="649" spans="1:2" x14ac:dyDescent="0.3">
      <c r="A649" t="s">
        <v>1294</v>
      </c>
      <c r="B649" t="s">
        <v>1295</v>
      </c>
    </row>
    <row r="650" spans="1:2" x14ac:dyDescent="0.3">
      <c r="A650" t="s">
        <v>1296</v>
      </c>
      <c r="B650" t="s">
        <v>1297</v>
      </c>
    </row>
    <row r="651" spans="1:2" x14ac:dyDescent="0.3">
      <c r="A651" t="s">
        <v>1298</v>
      </c>
      <c r="B651" t="s">
        <v>1299</v>
      </c>
    </row>
    <row r="652" spans="1:2" x14ac:dyDescent="0.3">
      <c r="A652" t="s">
        <v>1300</v>
      </c>
      <c r="B652" t="s">
        <v>1301</v>
      </c>
    </row>
    <row r="653" spans="1:2" x14ac:dyDescent="0.3">
      <c r="A653" t="s">
        <v>1302</v>
      </c>
      <c r="B653" t="s">
        <v>1303</v>
      </c>
    </row>
    <row r="654" spans="1:2" x14ac:dyDescent="0.3">
      <c r="A654" t="s">
        <v>1304</v>
      </c>
      <c r="B654" t="s">
        <v>1305</v>
      </c>
    </row>
    <row r="655" spans="1:2" x14ac:dyDescent="0.3">
      <c r="A655" t="s">
        <v>1306</v>
      </c>
      <c r="B655" t="s">
        <v>1307</v>
      </c>
    </row>
    <row r="656" spans="1:2" x14ac:dyDescent="0.3">
      <c r="A656" t="s">
        <v>1308</v>
      </c>
      <c r="B656" t="s">
        <v>1309</v>
      </c>
    </row>
    <row r="657" spans="1:2" x14ac:dyDescent="0.3">
      <c r="A657" t="s">
        <v>1310</v>
      </c>
      <c r="B657" t="s">
        <v>1311</v>
      </c>
    </row>
    <row r="658" spans="1:2" x14ac:dyDescent="0.3">
      <c r="A658" t="s">
        <v>1312</v>
      </c>
      <c r="B658" t="s">
        <v>1313</v>
      </c>
    </row>
    <row r="659" spans="1:2" x14ac:dyDescent="0.3">
      <c r="A659" t="s">
        <v>1314</v>
      </c>
      <c r="B659" t="s">
        <v>1315</v>
      </c>
    </row>
    <row r="660" spans="1:2" x14ac:dyDescent="0.3">
      <c r="A660" t="s">
        <v>1316</v>
      </c>
      <c r="B660" t="s">
        <v>1317</v>
      </c>
    </row>
    <row r="661" spans="1:2" x14ac:dyDescent="0.3">
      <c r="A661" t="s">
        <v>1318</v>
      </c>
      <c r="B661" t="s">
        <v>1319</v>
      </c>
    </row>
    <row r="662" spans="1:2" x14ac:dyDescent="0.3">
      <c r="A662" t="s">
        <v>1320</v>
      </c>
      <c r="B662" t="s">
        <v>1321</v>
      </c>
    </row>
    <row r="663" spans="1:2" x14ac:dyDescent="0.3">
      <c r="A663" t="s">
        <v>1322</v>
      </c>
      <c r="B663" t="s">
        <v>1323</v>
      </c>
    </row>
    <row r="664" spans="1:2" x14ac:dyDescent="0.3">
      <c r="A664" t="s">
        <v>1324</v>
      </c>
      <c r="B664" t="s">
        <v>1325</v>
      </c>
    </row>
    <row r="665" spans="1:2" x14ac:dyDescent="0.3">
      <c r="A665" t="s">
        <v>1326</v>
      </c>
      <c r="B665" t="s">
        <v>1327</v>
      </c>
    </row>
    <row r="666" spans="1:2" x14ac:dyDescent="0.3">
      <c r="A666" t="s">
        <v>1328</v>
      </c>
      <c r="B666" t="s">
        <v>1329</v>
      </c>
    </row>
    <row r="667" spans="1:2" x14ac:dyDescent="0.3">
      <c r="A667" t="s">
        <v>1330</v>
      </c>
      <c r="B667" t="s">
        <v>1331</v>
      </c>
    </row>
    <row r="668" spans="1:2" x14ac:dyDescent="0.3">
      <c r="A668" t="s">
        <v>1332</v>
      </c>
      <c r="B668" t="s">
        <v>1333</v>
      </c>
    </row>
    <row r="669" spans="1:2" x14ac:dyDescent="0.3">
      <c r="A669" t="s">
        <v>1334</v>
      </c>
      <c r="B669" t="s">
        <v>1335</v>
      </c>
    </row>
    <row r="670" spans="1:2" x14ac:dyDescent="0.3">
      <c r="A670" t="s">
        <v>1336</v>
      </c>
      <c r="B670" t="s">
        <v>1337</v>
      </c>
    </row>
    <row r="671" spans="1:2" x14ac:dyDescent="0.3">
      <c r="A671" t="s">
        <v>1338</v>
      </c>
      <c r="B671" t="s">
        <v>1339</v>
      </c>
    </row>
    <row r="672" spans="1:2" x14ac:dyDescent="0.3">
      <c r="A672" t="s">
        <v>1340</v>
      </c>
      <c r="B672" t="s">
        <v>1341</v>
      </c>
    </row>
    <row r="673" spans="1:2" x14ac:dyDescent="0.3">
      <c r="A673" t="s">
        <v>1342</v>
      </c>
      <c r="B673" t="s">
        <v>1343</v>
      </c>
    </row>
    <row r="674" spans="1:2" x14ac:dyDescent="0.3">
      <c r="A674" t="s">
        <v>1344</v>
      </c>
      <c r="B674" t="s">
        <v>1345</v>
      </c>
    </row>
    <row r="675" spans="1:2" x14ac:dyDescent="0.3">
      <c r="A675" t="s">
        <v>1346</v>
      </c>
      <c r="B675" t="s">
        <v>1347</v>
      </c>
    </row>
    <row r="676" spans="1:2" x14ac:dyDescent="0.3">
      <c r="A676" t="s">
        <v>1348</v>
      </c>
      <c r="B676" t="s">
        <v>1349</v>
      </c>
    </row>
    <row r="677" spans="1:2" x14ac:dyDescent="0.3">
      <c r="A677" t="s">
        <v>1350</v>
      </c>
      <c r="B677" t="s">
        <v>1351</v>
      </c>
    </row>
    <row r="678" spans="1:2" x14ac:dyDescent="0.3">
      <c r="A678" t="s">
        <v>1352</v>
      </c>
      <c r="B678" t="s">
        <v>1353</v>
      </c>
    </row>
    <row r="679" spans="1:2" x14ac:dyDescent="0.3">
      <c r="A679" t="s">
        <v>1354</v>
      </c>
      <c r="B679" t="s">
        <v>1355</v>
      </c>
    </row>
    <row r="680" spans="1:2" x14ac:dyDescent="0.3">
      <c r="A680" t="s">
        <v>1356</v>
      </c>
      <c r="B680" t="s">
        <v>1357</v>
      </c>
    </row>
    <row r="681" spans="1:2" x14ac:dyDescent="0.3">
      <c r="A681" t="s">
        <v>1358</v>
      </c>
      <c r="B681" t="s">
        <v>1359</v>
      </c>
    </row>
    <row r="682" spans="1:2" x14ac:dyDescent="0.3">
      <c r="A682" t="s">
        <v>1360</v>
      </c>
      <c r="B682" t="s">
        <v>1361</v>
      </c>
    </row>
    <row r="683" spans="1:2" x14ac:dyDescent="0.3">
      <c r="A683" t="s">
        <v>1362</v>
      </c>
      <c r="B683" t="s">
        <v>1363</v>
      </c>
    </row>
    <row r="684" spans="1:2" x14ac:dyDescent="0.3">
      <c r="A684" t="s">
        <v>1364</v>
      </c>
      <c r="B684" t="s">
        <v>1365</v>
      </c>
    </row>
    <row r="685" spans="1:2" x14ac:dyDescent="0.3">
      <c r="A685" t="s">
        <v>1366</v>
      </c>
      <c r="B685" t="s">
        <v>1367</v>
      </c>
    </row>
    <row r="686" spans="1:2" x14ac:dyDescent="0.3">
      <c r="A686" t="s">
        <v>1368</v>
      </c>
      <c r="B686" t="s">
        <v>1369</v>
      </c>
    </row>
    <row r="687" spans="1:2" x14ac:dyDescent="0.3">
      <c r="A687" t="s">
        <v>1370</v>
      </c>
      <c r="B687" t="s">
        <v>1371</v>
      </c>
    </row>
    <row r="688" spans="1:2" x14ac:dyDescent="0.3">
      <c r="A688" t="s">
        <v>1372</v>
      </c>
      <c r="B688" t="s">
        <v>1373</v>
      </c>
    </row>
    <row r="689" spans="1:2" x14ac:dyDescent="0.3">
      <c r="A689" t="s">
        <v>1374</v>
      </c>
      <c r="B689" t="s">
        <v>1375</v>
      </c>
    </row>
    <row r="690" spans="1:2" x14ac:dyDescent="0.3">
      <c r="A690" t="s">
        <v>1376</v>
      </c>
      <c r="B690" t="s">
        <v>1377</v>
      </c>
    </row>
    <row r="691" spans="1:2" x14ac:dyDescent="0.3">
      <c r="A691" t="s">
        <v>1378</v>
      </c>
      <c r="B691" t="s">
        <v>1379</v>
      </c>
    </row>
    <row r="692" spans="1:2" x14ac:dyDescent="0.3">
      <c r="A692" t="s">
        <v>1380</v>
      </c>
      <c r="B692" t="s">
        <v>1381</v>
      </c>
    </row>
    <row r="693" spans="1:2" x14ac:dyDescent="0.3">
      <c r="A693" t="s">
        <v>1382</v>
      </c>
      <c r="B693" t="s">
        <v>1383</v>
      </c>
    </row>
    <row r="694" spans="1:2" x14ac:dyDescent="0.3">
      <c r="A694" t="s">
        <v>1384</v>
      </c>
      <c r="B694" t="s">
        <v>1385</v>
      </c>
    </row>
    <row r="695" spans="1:2" x14ac:dyDescent="0.3">
      <c r="A695" t="s">
        <v>1386</v>
      </c>
      <c r="B695" t="s">
        <v>1387</v>
      </c>
    </row>
    <row r="696" spans="1:2" x14ac:dyDescent="0.3">
      <c r="A696" t="s">
        <v>1388</v>
      </c>
      <c r="B696" t="s">
        <v>1389</v>
      </c>
    </row>
    <row r="697" spans="1:2" x14ac:dyDescent="0.3">
      <c r="A697" t="s">
        <v>1390</v>
      </c>
      <c r="B697" t="s">
        <v>1391</v>
      </c>
    </row>
    <row r="698" spans="1:2" x14ac:dyDescent="0.3">
      <c r="A698" t="s">
        <v>1392</v>
      </c>
      <c r="B698" t="s">
        <v>1393</v>
      </c>
    </row>
    <row r="699" spans="1:2" x14ac:dyDescent="0.3">
      <c r="A699" t="s">
        <v>1394</v>
      </c>
      <c r="B699" t="s">
        <v>1395</v>
      </c>
    </row>
    <row r="700" spans="1:2" x14ac:dyDescent="0.3">
      <c r="A700" t="s">
        <v>1396</v>
      </c>
      <c r="B700" t="s">
        <v>1397</v>
      </c>
    </row>
    <row r="701" spans="1:2" x14ac:dyDescent="0.3">
      <c r="A701" t="s">
        <v>1398</v>
      </c>
      <c r="B701" t="s">
        <v>1399</v>
      </c>
    </row>
    <row r="702" spans="1:2" x14ac:dyDescent="0.3">
      <c r="A702" t="s">
        <v>1400</v>
      </c>
      <c r="B702" t="s">
        <v>1401</v>
      </c>
    </row>
    <row r="703" spans="1:2" x14ac:dyDescent="0.3">
      <c r="A703" t="s">
        <v>1402</v>
      </c>
      <c r="B703" t="s">
        <v>1403</v>
      </c>
    </row>
    <row r="704" spans="1:2" x14ac:dyDescent="0.3">
      <c r="A704" t="s">
        <v>1404</v>
      </c>
      <c r="B704" t="s">
        <v>1405</v>
      </c>
    </row>
    <row r="705" spans="1:2" x14ac:dyDescent="0.3">
      <c r="A705" t="s">
        <v>1406</v>
      </c>
      <c r="B705" t="s">
        <v>1407</v>
      </c>
    </row>
    <row r="706" spans="1:2" x14ac:dyDescent="0.3">
      <c r="A706" t="s">
        <v>1408</v>
      </c>
      <c r="B706" t="s">
        <v>1409</v>
      </c>
    </row>
    <row r="707" spans="1:2" x14ac:dyDescent="0.3">
      <c r="A707" t="s">
        <v>1410</v>
      </c>
      <c r="B707" t="s">
        <v>1411</v>
      </c>
    </row>
    <row r="708" spans="1:2" x14ac:dyDescent="0.3">
      <c r="A708" t="s">
        <v>1412</v>
      </c>
      <c r="B708" t="s">
        <v>1413</v>
      </c>
    </row>
    <row r="709" spans="1:2" x14ac:dyDescent="0.3">
      <c r="A709" t="s">
        <v>1414</v>
      </c>
      <c r="B709" t="s">
        <v>1415</v>
      </c>
    </row>
    <row r="710" spans="1:2" x14ac:dyDescent="0.3">
      <c r="A710" t="s">
        <v>1416</v>
      </c>
      <c r="B710" t="s">
        <v>1417</v>
      </c>
    </row>
    <row r="711" spans="1:2" x14ac:dyDescent="0.3">
      <c r="A711" t="s">
        <v>1418</v>
      </c>
      <c r="B711" t="s">
        <v>1419</v>
      </c>
    </row>
    <row r="712" spans="1:2" x14ac:dyDescent="0.3">
      <c r="A712" t="s">
        <v>1420</v>
      </c>
      <c r="B712" t="s">
        <v>1421</v>
      </c>
    </row>
    <row r="713" spans="1:2" x14ac:dyDescent="0.3">
      <c r="A713" t="s">
        <v>1422</v>
      </c>
      <c r="B713" t="s">
        <v>1423</v>
      </c>
    </row>
    <row r="714" spans="1:2" x14ac:dyDescent="0.3">
      <c r="A714" t="s">
        <v>1424</v>
      </c>
      <c r="B714" t="s">
        <v>1425</v>
      </c>
    </row>
    <row r="715" spans="1:2" x14ac:dyDescent="0.3">
      <c r="A715" t="s">
        <v>1426</v>
      </c>
      <c r="B715" t="s">
        <v>1427</v>
      </c>
    </row>
    <row r="716" spans="1:2" x14ac:dyDescent="0.3">
      <c r="A716" t="s">
        <v>1428</v>
      </c>
      <c r="B716" t="s">
        <v>1429</v>
      </c>
    </row>
    <row r="717" spans="1:2" x14ac:dyDescent="0.3">
      <c r="A717" t="s">
        <v>1430</v>
      </c>
      <c r="B717" t="s">
        <v>1431</v>
      </c>
    </row>
    <row r="718" spans="1:2" x14ac:dyDescent="0.3">
      <c r="A718" t="s">
        <v>1432</v>
      </c>
      <c r="B718" t="s">
        <v>1433</v>
      </c>
    </row>
    <row r="719" spans="1:2" x14ac:dyDescent="0.3">
      <c r="A719" t="s">
        <v>1434</v>
      </c>
      <c r="B719" t="s">
        <v>1435</v>
      </c>
    </row>
    <row r="720" spans="1:2" x14ac:dyDescent="0.3">
      <c r="A720" t="s">
        <v>1436</v>
      </c>
      <c r="B720" t="s">
        <v>1437</v>
      </c>
    </row>
    <row r="721" spans="1:2" x14ac:dyDescent="0.3">
      <c r="A721" t="s">
        <v>1438</v>
      </c>
      <c r="B721" t="s">
        <v>1439</v>
      </c>
    </row>
    <row r="722" spans="1:2" x14ac:dyDescent="0.3">
      <c r="A722" t="s">
        <v>1440</v>
      </c>
      <c r="B722" t="s">
        <v>1441</v>
      </c>
    </row>
    <row r="723" spans="1:2" x14ac:dyDescent="0.3">
      <c r="A723" t="s">
        <v>1442</v>
      </c>
      <c r="B723" t="s">
        <v>1443</v>
      </c>
    </row>
    <row r="724" spans="1:2" x14ac:dyDescent="0.3">
      <c r="A724" t="s">
        <v>1444</v>
      </c>
      <c r="B724" t="s">
        <v>1445</v>
      </c>
    </row>
    <row r="725" spans="1:2" x14ac:dyDescent="0.3">
      <c r="A725" t="s">
        <v>1446</v>
      </c>
      <c r="B725" t="s">
        <v>1447</v>
      </c>
    </row>
    <row r="726" spans="1:2" x14ac:dyDescent="0.3">
      <c r="A726" t="s">
        <v>1448</v>
      </c>
      <c r="B726" t="s">
        <v>1449</v>
      </c>
    </row>
    <row r="727" spans="1:2" x14ac:dyDescent="0.3">
      <c r="A727" t="s">
        <v>1450</v>
      </c>
      <c r="B727" t="s">
        <v>1451</v>
      </c>
    </row>
    <row r="728" spans="1:2" x14ac:dyDescent="0.3">
      <c r="A728" t="s">
        <v>1452</v>
      </c>
      <c r="B728" t="s">
        <v>1453</v>
      </c>
    </row>
    <row r="729" spans="1:2" x14ac:dyDescent="0.3">
      <c r="A729" t="s">
        <v>1454</v>
      </c>
      <c r="B729" t="s">
        <v>1455</v>
      </c>
    </row>
    <row r="730" spans="1:2" x14ac:dyDescent="0.3">
      <c r="A730" t="s">
        <v>1456</v>
      </c>
      <c r="B730" t="s">
        <v>1457</v>
      </c>
    </row>
    <row r="731" spans="1:2" x14ac:dyDescent="0.3">
      <c r="A731" t="s">
        <v>1458</v>
      </c>
      <c r="B731" t="s">
        <v>1459</v>
      </c>
    </row>
    <row r="732" spans="1:2" x14ac:dyDescent="0.3">
      <c r="A732" t="s">
        <v>1460</v>
      </c>
      <c r="B732" t="s">
        <v>1461</v>
      </c>
    </row>
    <row r="733" spans="1:2" x14ac:dyDescent="0.3">
      <c r="A733" t="s">
        <v>1462</v>
      </c>
      <c r="B733" t="s">
        <v>1463</v>
      </c>
    </row>
    <row r="734" spans="1:2" x14ac:dyDescent="0.3">
      <c r="A734" t="s">
        <v>1464</v>
      </c>
      <c r="B734" t="s">
        <v>1465</v>
      </c>
    </row>
    <row r="735" spans="1:2" x14ac:dyDescent="0.3">
      <c r="A735" t="s">
        <v>1466</v>
      </c>
      <c r="B735" t="s">
        <v>1467</v>
      </c>
    </row>
    <row r="736" spans="1:2" x14ac:dyDescent="0.3">
      <c r="A736" t="s">
        <v>1468</v>
      </c>
      <c r="B736" t="s">
        <v>1469</v>
      </c>
    </row>
    <row r="737" spans="1:2" x14ac:dyDescent="0.3">
      <c r="A737" t="s">
        <v>1470</v>
      </c>
      <c r="B737" t="s">
        <v>1471</v>
      </c>
    </row>
    <row r="738" spans="1:2" x14ac:dyDescent="0.3">
      <c r="A738" t="s">
        <v>1472</v>
      </c>
      <c r="B738" t="s">
        <v>1473</v>
      </c>
    </row>
    <row r="739" spans="1:2" x14ac:dyDescent="0.3">
      <c r="A739" t="s">
        <v>1474</v>
      </c>
      <c r="B739" t="s">
        <v>1475</v>
      </c>
    </row>
    <row r="740" spans="1:2" x14ac:dyDescent="0.3">
      <c r="A740" t="s">
        <v>1476</v>
      </c>
      <c r="B740" t="s">
        <v>1477</v>
      </c>
    </row>
    <row r="741" spans="1:2" x14ac:dyDescent="0.3">
      <c r="A741" t="s">
        <v>1478</v>
      </c>
      <c r="B741" t="s">
        <v>1479</v>
      </c>
    </row>
    <row r="742" spans="1:2" x14ac:dyDescent="0.3">
      <c r="A742" t="s">
        <v>1480</v>
      </c>
      <c r="B742" t="s">
        <v>1481</v>
      </c>
    </row>
    <row r="743" spans="1:2" x14ac:dyDescent="0.3">
      <c r="A743" t="s">
        <v>1482</v>
      </c>
      <c r="B743" t="s">
        <v>1483</v>
      </c>
    </row>
    <row r="744" spans="1:2" x14ac:dyDescent="0.3">
      <c r="A744" t="s">
        <v>1484</v>
      </c>
      <c r="B744" t="s">
        <v>1485</v>
      </c>
    </row>
    <row r="745" spans="1:2" x14ac:dyDescent="0.3">
      <c r="A745" t="s">
        <v>1486</v>
      </c>
      <c r="B745" t="s">
        <v>1487</v>
      </c>
    </row>
    <row r="746" spans="1:2" x14ac:dyDescent="0.3">
      <c r="A746" t="s">
        <v>1488</v>
      </c>
      <c r="B746" t="s">
        <v>1489</v>
      </c>
    </row>
    <row r="747" spans="1:2" x14ac:dyDescent="0.3">
      <c r="A747" t="s">
        <v>1490</v>
      </c>
      <c r="B747" t="s">
        <v>1491</v>
      </c>
    </row>
    <row r="748" spans="1:2" x14ac:dyDescent="0.3">
      <c r="A748" t="s">
        <v>1492</v>
      </c>
      <c r="B748" t="s">
        <v>1493</v>
      </c>
    </row>
    <row r="749" spans="1:2" x14ac:dyDescent="0.3">
      <c r="A749" t="s">
        <v>1494</v>
      </c>
      <c r="B749" t="s">
        <v>1495</v>
      </c>
    </row>
    <row r="750" spans="1:2" x14ac:dyDescent="0.3">
      <c r="A750" t="s">
        <v>1496</v>
      </c>
      <c r="B750" t="s">
        <v>1497</v>
      </c>
    </row>
    <row r="751" spans="1:2" x14ac:dyDescent="0.3">
      <c r="A751" t="s">
        <v>1498</v>
      </c>
      <c r="B751" t="s">
        <v>1499</v>
      </c>
    </row>
    <row r="752" spans="1:2" x14ac:dyDescent="0.3">
      <c r="A752" t="s">
        <v>1500</v>
      </c>
      <c r="B752" t="s">
        <v>1501</v>
      </c>
    </row>
    <row r="753" spans="1:2" x14ac:dyDescent="0.3">
      <c r="A753" t="s">
        <v>1502</v>
      </c>
      <c r="B753" t="s">
        <v>1503</v>
      </c>
    </row>
    <row r="754" spans="1:2" x14ac:dyDescent="0.3">
      <c r="A754" t="s">
        <v>1504</v>
      </c>
      <c r="B754" t="s">
        <v>1505</v>
      </c>
    </row>
    <row r="755" spans="1:2" x14ac:dyDescent="0.3">
      <c r="A755" t="s">
        <v>1506</v>
      </c>
      <c r="B755" t="s">
        <v>1507</v>
      </c>
    </row>
    <row r="756" spans="1:2" x14ac:dyDescent="0.3">
      <c r="A756" t="s">
        <v>1508</v>
      </c>
      <c r="B756" t="s">
        <v>1509</v>
      </c>
    </row>
    <row r="757" spans="1:2" x14ac:dyDescent="0.3">
      <c r="A757" t="s">
        <v>1510</v>
      </c>
      <c r="B757" t="s">
        <v>1511</v>
      </c>
    </row>
    <row r="758" spans="1:2" x14ac:dyDescent="0.3">
      <c r="A758" t="s">
        <v>1512</v>
      </c>
      <c r="B758" t="s">
        <v>1513</v>
      </c>
    </row>
    <row r="759" spans="1:2" x14ac:dyDescent="0.3">
      <c r="A759" t="s">
        <v>1514</v>
      </c>
      <c r="B759" t="s">
        <v>1515</v>
      </c>
    </row>
    <row r="760" spans="1:2" x14ac:dyDescent="0.3">
      <c r="A760" t="s">
        <v>1516</v>
      </c>
      <c r="B760" t="s">
        <v>1517</v>
      </c>
    </row>
    <row r="761" spans="1:2" x14ac:dyDescent="0.3">
      <c r="A761" t="s">
        <v>1518</v>
      </c>
      <c r="B761" t="s">
        <v>1519</v>
      </c>
    </row>
    <row r="762" spans="1:2" x14ac:dyDescent="0.3">
      <c r="A762" t="s">
        <v>1520</v>
      </c>
      <c r="B762" t="s">
        <v>1521</v>
      </c>
    </row>
    <row r="763" spans="1:2" x14ac:dyDescent="0.3">
      <c r="A763" t="s">
        <v>1522</v>
      </c>
      <c r="B763" t="s">
        <v>1523</v>
      </c>
    </row>
    <row r="764" spans="1:2" x14ac:dyDescent="0.3">
      <c r="A764" t="s">
        <v>1524</v>
      </c>
      <c r="B764" t="s">
        <v>1525</v>
      </c>
    </row>
    <row r="765" spans="1:2" x14ac:dyDescent="0.3">
      <c r="A765" t="s">
        <v>1526</v>
      </c>
      <c r="B765" t="s">
        <v>1527</v>
      </c>
    </row>
    <row r="766" spans="1:2" x14ac:dyDescent="0.3">
      <c r="A766" t="s">
        <v>1528</v>
      </c>
      <c r="B766" t="s">
        <v>1529</v>
      </c>
    </row>
    <row r="767" spans="1:2" x14ac:dyDescent="0.3">
      <c r="A767" t="s">
        <v>1530</v>
      </c>
      <c r="B767" t="s">
        <v>1531</v>
      </c>
    </row>
    <row r="768" spans="1:2" x14ac:dyDescent="0.3">
      <c r="A768" t="s">
        <v>1532</v>
      </c>
      <c r="B768" t="s">
        <v>1533</v>
      </c>
    </row>
    <row r="769" spans="1:2" x14ac:dyDescent="0.3">
      <c r="A769" t="s">
        <v>1534</v>
      </c>
      <c r="B769" t="s">
        <v>1535</v>
      </c>
    </row>
    <row r="770" spans="1:2" x14ac:dyDescent="0.3">
      <c r="A770" t="s">
        <v>1536</v>
      </c>
      <c r="B770" t="s">
        <v>1537</v>
      </c>
    </row>
    <row r="771" spans="1:2" x14ac:dyDescent="0.3">
      <c r="A771" t="s">
        <v>1538</v>
      </c>
      <c r="B771" t="s">
        <v>1539</v>
      </c>
    </row>
    <row r="772" spans="1:2" x14ac:dyDescent="0.3">
      <c r="A772" t="s">
        <v>1540</v>
      </c>
      <c r="B772" t="s">
        <v>1541</v>
      </c>
    </row>
    <row r="773" spans="1:2" x14ac:dyDescent="0.3">
      <c r="A773" t="s">
        <v>1542</v>
      </c>
      <c r="B773" t="s">
        <v>1543</v>
      </c>
    </row>
    <row r="774" spans="1:2" x14ac:dyDescent="0.3">
      <c r="A774" t="s">
        <v>1544</v>
      </c>
      <c r="B774" t="s">
        <v>1545</v>
      </c>
    </row>
    <row r="775" spans="1:2" x14ac:dyDescent="0.3">
      <c r="A775" t="s">
        <v>1546</v>
      </c>
      <c r="B775" t="s">
        <v>1547</v>
      </c>
    </row>
    <row r="776" spans="1:2" x14ac:dyDescent="0.3">
      <c r="A776" t="s">
        <v>1548</v>
      </c>
      <c r="B776" t="s">
        <v>1549</v>
      </c>
    </row>
    <row r="777" spans="1:2" x14ac:dyDescent="0.3">
      <c r="A777" t="s">
        <v>1550</v>
      </c>
      <c r="B777" t="s">
        <v>1551</v>
      </c>
    </row>
    <row r="778" spans="1:2" x14ac:dyDescent="0.3">
      <c r="A778" t="s">
        <v>1552</v>
      </c>
      <c r="B778" t="s">
        <v>1553</v>
      </c>
    </row>
    <row r="779" spans="1:2" x14ac:dyDescent="0.3">
      <c r="A779" t="s">
        <v>1554</v>
      </c>
      <c r="B779" t="s">
        <v>1555</v>
      </c>
    </row>
    <row r="780" spans="1:2" x14ac:dyDescent="0.3">
      <c r="A780" t="s">
        <v>1556</v>
      </c>
      <c r="B780" t="s">
        <v>1557</v>
      </c>
    </row>
    <row r="781" spans="1:2" x14ac:dyDescent="0.3">
      <c r="A781" t="s">
        <v>1558</v>
      </c>
      <c r="B781" t="s">
        <v>1559</v>
      </c>
    </row>
    <row r="782" spans="1:2" x14ac:dyDescent="0.3">
      <c r="A782" t="s">
        <v>1560</v>
      </c>
      <c r="B782" t="s">
        <v>1561</v>
      </c>
    </row>
    <row r="783" spans="1:2" x14ac:dyDescent="0.3">
      <c r="A783" t="s">
        <v>1562</v>
      </c>
      <c r="B783" t="s">
        <v>1563</v>
      </c>
    </row>
    <row r="784" spans="1:2" x14ac:dyDescent="0.3">
      <c r="A784" t="s">
        <v>1564</v>
      </c>
      <c r="B784" t="s">
        <v>1565</v>
      </c>
    </row>
    <row r="785" spans="1:2" x14ac:dyDescent="0.3">
      <c r="A785" t="s">
        <v>1566</v>
      </c>
      <c r="B785" t="s">
        <v>1567</v>
      </c>
    </row>
    <row r="786" spans="1:2" x14ac:dyDescent="0.3">
      <c r="A786" t="s">
        <v>1568</v>
      </c>
      <c r="B786" t="s">
        <v>1569</v>
      </c>
    </row>
    <row r="787" spans="1:2" x14ac:dyDescent="0.3">
      <c r="A787" t="s">
        <v>1570</v>
      </c>
      <c r="B787" t="s">
        <v>1571</v>
      </c>
    </row>
    <row r="788" spans="1:2" x14ac:dyDescent="0.3">
      <c r="A788" t="s">
        <v>1572</v>
      </c>
      <c r="B788" t="s">
        <v>1573</v>
      </c>
    </row>
    <row r="789" spans="1:2" x14ac:dyDescent="0.3">
      <c r="A789" t="s">
        <v>1574</v>
      </c>
      <c r="B789" t="s">
        <v>1575</v>
      </c>
    </row>
    <row r="790" spans="1:2" x14ac:dyDescent="0.3">
      <c r="A790" t="s">
        <v>1576</v>
      </c>
      <c r="B790" t="s">
        <v>1577</v>
      </c>
    </row>
    <row r="791" spans="1:2" x14ac:dyDescent="0.3">
      <c r="A791" t="s">
        <v>1578</v>
      </c>
      <c r="B791" t="s">
        <v>1579</v>
      </c>
    </row>
    <row r="792" spans="1:2" x14ac:dyDescent="0.3">
      <c r="A792" t="s">
        <v>1580</v>
      </c>
      <c r="B792" t="s">
        <v>1581</v>
      </c>
    </row>
    <row r="793" spans="1:2" x14ac:dyDescent="0.3">
      <c r="A793" t="s">
        <v>1582</v>
      </c>
      <c r="B793" t="s">
        <v>1583</v>
      </c>
    </row>
    <row r="794" spans="1:2" x14ac:dyDescent="0.3">
      <c r="A794" t="s">
        <v>1584</v>
      </c>
      <c r="B794" t="s">
        <v>1585</v>
      </c>
    </row>
    <row r="795" spans="1:2" x14ac:dyDescent="0.3">
      <c r="A795" t="s">
        <v>1586</v>
      </c>
      <c r="B795" t="s">
        <v>1587</v>
      </c>
    </row>
    <row r="796" spans="1:2" x14ac:dyDescent="0.3">
      <c r="A796" t="s">
        <v>1588</v>
      </c>
      <c r="B796" t="s">
        <v>1589</v>
      </c>
    </row>
    <row r="797" spans="1:2" x14ac:dyDescent="0.3">
      <c r="A797" t="s">
        <v>1590</v>
      </c>
      <c r="B797" t="s">
        <v>1591</v>
      </c>
    </row>
    <row r="798" spans="1:2" x14ac:dyDescent="0.3">
      <c r="A798" t="s">
        <v>1592</v>
      </c>
      <c r="B798" t="s">
        <v>1593</v>
      </c>
    </row>
    <row r="799" spans="1:2" x14ac:dyDescent="0.3">
      <c r="A799" t="s">
        <v>1594</v>
      </c>
      <c r="B799" t="s">
        <v>1595</v>
      </c>
    </row>
    <row r="800" spans="1:2" x14ac:dyDescent="0.3">
      <c r="A800" t="s">
        <v>1596</v>
      </c>
      <c r="B800" t="s">
        <v>1597</v>
      </c>
    </row>
    <row r="801" spans="1:2" x14ac:dyDescent="0.3">
      <c r="A801" t="s">
        <v>1598</v>
      </c>
      <c r="B801" t="s">
        <v>1599</v>
      </c>
    </row>
    <row r="802" spans="1:2" x14ac:dyDescent="0.3">
      <c r="A802" t="s">
        <v>1600</v>
      </c>
      <c r="B802" t="s">
        <v>1601</v>
      </c>
    </row>
    <row r="803" spans="1:2" x14ac:dyDescent="0.3">
      <c r="A803" t="s">
        <v>1602</v>
      </c>
      <c r="B803" t="s">
        <v>1603</v>
      </c>
    </row>
    <row r="804" spans="1:2" x14ac:dyDescent="0.3">
      <c r="A804" t="s">
        <v>1604</v>
      </c>
      <c r="B804" t="s">
        <v>1605</v>
      </c>
    </row>
    <row r="805" spans="1:2" x14ac:dyDescent="0.3">
      <c r="A805" t="s">
        <v>1606</v>
      </c>
      <c r="B805" t="s">
        <v>1607</v>
      </c>
    </row>
    <row r="806" spans="1:2" x14ac:dyDescent="0.3">
      <c r="A806" t="s">
        <v>1608</v>
      </c>
      <c r="B806" t="s">
        <v>1609</v>
      </c>
    </row>
    <row r="807" spans="1:2" x14ac:dyDescent="0.3">
      <c r="A807" t="s">
        <v>1610</v>
      </c>
      <c r="B807" t="s">
        <v>1611</v>
      </c>
    </row>
    <row r="808" spans="1:2" x14ac:dyDescent="0.3">
      <c r="A808" t="s">
        <v>1612</v>
      </c>
      <c r="B808" t="s">
        <v>1613</v>
      </c>
    </row>
    <row r="809" spans="1:2" x14ac:dyDescent="0.3">
      <c r="A809" t="s">
        <v>1614</v>
      </c>
      <c r="B809" t="s">
        <v>1615</v>
      </c>
    </row>
    <row r="810" spans="1:2" x14ac:dyDescent="0.3">
      <c r="A810" t="s">
        <v>1616</v>
      </c>
      <c r="B810" t="s">
        <v>1617</v>
      </c>
    </row>
    <row r="811" spans="1:2" x14ac:dyDescent="0.3">
      <c r="A811" t="s">
        <v>1618</v>
      </c>
      <c r="B811" t="s">
        <v>1619</v>
      </c>
    </row>
    <row r="812" spans="1:2" x14ac:dyDescent="0.3">
      <c r="A812" t="s">
        <v>1620</v>
      </c>
      <c r="B812" t="s">
        <v>1621</v>
      </c>
    </row>
    <row r="813" spans="1:2" x14ac:dyDescent="0.3">
      <c r="A813" t="s">
        <v>1622</v>
      </c>
      <c r="B813" t="s">
        <v>1623</v>
      </c>
    </row>
    <row r="814" spans="1:2" x14ac:dyDescent="0.3">
      <c r="A814" t="s">
        <v>1624</v>
      </c>
      <c r="B814" t="s">
        <v>1625</v>
      </c>
    </row>
    <row r="815" spans="1:2" x14ac:dyDescent="0.3">
      <c r="A815" t="s">
        <v>1626</v>
      </c>
      <c r="B815" t="s">
        <v>1627</v>
      </c>
    </row>
    <row r="816" spans="1:2" x14ac:dyDescent="0.3">
      <c r="A816" t="s">
        <v>1628</v>
      </c>
      <c r="B816" t="s">
        <v>1629</v>
      </c>
    </row>
    <row r="817" spans="1:2" x14ac:dyDescent="0.3">
      <c r="A817" t="s">
        <v>1630</v>
      </c>
      <c r="B817" t="s">
        <v>1631</v>
      </c>
    </row>
    <row r="818" spans="1:2" x14ac:dyDescent="0.3">
      <c r="A818" t="s">
        <v>1632</v>
      </c>
      <c r="B818" t="s">
        <v>1633</v>
      </c>
    </row>
    <row r="819" spans="1:2" x14ac:dyDescent="0.3">
      <c r="A819" t="s">
        <v>1634</v>
      </c>
      <c r="B819" t="s">
        <v>1635</v>
      </c>
    </row>
    <row r="820" spans="1:2" x14ac:dyDescent="0.3">
      <c r="A820" t="s">
        <v>1636</v>
      </c>
      <c r="B820" t="s">
        <v>1637</v>
      </c>
    </row>
    <row r="821" spans="1:2" x14ac:dyDescent="0.3">
      <c r="A821" t="s">
        <v>1638</v>
      </c>
      <c r="B821" t="s">
        <v>1639</v>
      </c>
    </row>
    <row r="822" spans="1:2" x14ac:dyDescent="0.3">
      <c r="A822" t="s">
        <v>1640</v>
      </c>
      <c r="B822" t="s">
        <v>1641</v>
      </c>
    </row>
    <row r="823" spans="1:2" x14ac:dyDescent="0.3">
      <c r="A823" t="s">
        <v>1642</v>
      </c>
      <c r="B823" t="s">
        <v>1643</v>
      </c>
    </row>
    <row r="824" spans="1:2" x14ac:dyDescent="0.3">
      <c r="A824" t="s">
        <v>1644</v>
      </c>
      <c r="B824" t="s">
        <v>1645</v>
      </c>
    </row>
    <row r="825" spans="1:2" x14ac:dyDescent="0.3">
      <c r="A825" t="s">
        <v>1646</v>
      </c>
      <c r="B825" t="s">
        <v>1647</v>
      </c>
    </row>
    <row r="826" spans="1:2" x14ac:dyDescent="0.3">
      <c r="A826" t="s">
        <v>1648</v>
      </c>
      <c r="B826" t="s">
        <v>1649</v>
      </c>
    </row>
    <row r="827" spans="1:2" x14ac:dyDescent="0.3">
      <c r="A827" t="s">
        <v>1650</v>
      </c>
      <c r="B827" t="s">
        <v>1651</v>
      </c>
    </row>
    <row r="828" spans="1:2" x14ac:dyDescent="0.3">
      <c r="A828" t="s">
        <v>1652</v>
      </c>
      <c r="B828" t="s">
        <v>1653</v>
      </c>
    </row>
    <row r="829" spans="1:2" x14ac:dyDescent="0.3">
      <c r="A829" t="s">
        <v>1654</v>
      </c>
      <c r="B829" t="s">
        <v>1655</v>
      </c>
    </row>
    <row r="830" spans="1:2" x14ac:dyDescent="0.3">
      <c r="A830" t="s">
        <v>1656</v>
      </c>
      <c r="B830" t="s">
        <v>1657</v>
      </c>
    </row>
    <row r="831" spans="1:2" x14ac:dyDescent="0.3">
      <c r="A831" t="s">
        <v>1658</v>
      </c>
      <c r="B831" t="s">
        <v>1659</v>
      </c>
    </row>
    <row r="832" spans="1:2" x14ac:dyDescent="0.3">
      <c r="A832" t="s">
        <v>1660</v>
      </c>
      <c r="B832" t="s">
        <v>1661</v>
      </c>
    </row>
    <row r="833" spans="1:2" x14ac:dyDescent="0.3">
      <c r="A833" t="s">
        <v>1662</v>
      </c>
      <c r="B833" t="s">
        <v>1663</v>
      </c>
    </row>
    <row r="834" spans="1:2" x14ac:dyDescent="0.3">
      <c r="A834" t="s">
        <v>1664</v>
      </c>
      <c r="B834" t="s">
        <v>1665</v>
      </c>
    </row>
    <row r="835" spans="1:2" x14ac:dyDescent="0.3">
      <c r="A835" t="s">
        <v>1666</v>
      </c>
      <c r="B835" t="s">
        <v>1667</v>
      </c>
    </row>
    <row r="836" spans="1:2" x14ac:dyDescent="0.3">
      <c r="A836" t="s">
        <v>1668</v>
      </c>
      <c r="B836" t="s">
        <v>1669</v>
      </c>
    </row>
    <row r="837" spans="1:2" x14ac:dyDescent="0.3">
      <c r="A837" t="s">
        <v>1670</v>
      </c>
      <c r="B837" t="s">
        <v>1671</v>
      </c>
    </row>
    <row r="838" spans="1:2" x14ac:dyDescent="0.3">
      <c r="A838" t="s">
        <v>1672</v>
      </c>
      <c r="B838" t="s">
        <v>1673</v>
      </c>
    </row>
    <row r="839" spans="1:2" x14ac:dyDescent="0.3">
      <c r="A839" t="s">
        <v>1674</v>
      </c>
      <c r="B839" t="s">
        <v>1675</v>
      </c>
    </row>
    <row r="840" spans="1:2" x14ac:dyDescent="0.3">
      <c r="A840" t="s">
        <v>1676</v>
      </c>
      <c r="B840" t="s">
        <v>1677</v>
      </c>
    </row>
    <row r="841" spans="1:2" x14ac:dyDescent="0.3">
      <c r="A841" t="s">
        <v>1678</v>
      </c>
      <c r="B841" t="s">
        <v>1679</v>
      </c>
    </row>
    <row r="842" spans="1:2" x14ac:dyDescent="0.3">
      <c r="A842" t="s">
        <v>1680</v>
      </c>
      <c r="B842" t="s">
        <v>1681</v>
      </c>
    </row>
    <row r="843" spans="1:2" x14ac:dyDescent="0.3">
      <c r="A843" t="s">
        <v>1682</v>
      </c>
      <c r="B843" t="s">
        <v>1683</v>
      </c>
    </row>
    <row r="844" spans="1:2" x14ac:dyDescent="0.3">
      <c r="A844" t="s">
        <v>1684</v>
      </c>
      <c r="B844" t="s">
        <v>1685</v>
      </c>
    </row>
    <row r="845" spans="1:2" x14ac:dyDescent="0.3">
      <c r="A845" t="s">
        <v>1686</v>
      </c>
      <c r="B845" t="s">
        <v>1687</v>
      </c>
    </row>
    <row r="846" spans="1:2" x14ac:dyDescent="0.3">
      <c r="A846" t="s">
        <v>1688</v>
      </c>
      <c r="B846" t="s">
        <v>1689</v>
      </c>
    </row>
    <row r="847" spans="1:2" x14ac:dyDescent="0.3">
      <c r="A847" t="s">
        <v>1690</v>
      </c>
      <c r="B847" t="s">
        <v>1691</v>
      </c>
    </row>
    <row r="848" spans="1:2" x14ac:dyDescent="0.3">
      <c r="A848" t="s">
        <v>1692</v>
      </c>
      <c r="B848" t="s">
        <v>1693</v>
      </c>
    </row>
    <row r="849" spans="1:2" x14ac:dyDescent="0.3">
      <c r="A849" t="s">
        <v>1694</v>
      </c>
      <c r="B849" t="s">
        <v>1695</v>
      </c>
    </row>
    <row r="850" spans="1:2" x14ac:dyDescent="0.3">
      <c r="A850" t="s">
        <v>1696</v>
      </c>
      <c r="B850" t="s">
        <v>1697</v>
      </c>
    </row>
    <row r="851" spans="1:2" x14ac:dyDescent="0.3">
      <c r="A851" t="s">
        <v>1698</v>
      </c>
      <c r="B851" t="s">
        <v>1699</v>
      </c>
    </row>
    <row r="852" spans="1:2" x14ac:dyDescent="0.3">
      <c r="A852" t="s">
        <v>1700</v>
      </c>
      <c r="B852" t="s">
        <v>1701</v>
      </c>
    </row>
    <row r="853" spans="1:2" x14ac:dyDescent="0.3">
      <c r="A853" t="s">
        <v>1702</v>
      </c>
      <c r="B853" t="s">
        <v>1703</v>
      </c>
    </row>
    <row r="854" spans="1:2" x14ac:dyDescent="0.3">
      <c r="A854" t="s">
        <v>1704</v>
      </c>
      <c r="B854" t="s">
        <v>1705</v>
      </c>
    </row>
    <row r="855" spans="1:2" x14ac:dyDescent="0.3">
      <c r="A855" t="s">
        <v>1706</v>
      </c>
      <c r="B855" t="s">
        <v>1707</v>
      </c>
    </row>
    <row r="856" spans="1:2" x14ac:dyDescent="0.3">
      <c r="A856" t="s">
        <v>1708</v>
      </c>
      <c r="B856" t="s">
        <v>1709</v>
      </c>
    </row>
    <row r="857" spans="1:2" x14ac:dyDescent="0.3">
      <c r="A857" t="s">
        <v>1710</v>
      </c>
      <c r="B857" t="s">
        <v>1711</v>
      </c>
    </row>
    <row r="858" spans="1:2" x14ac:dyDescent="0.3">
      <c r="A858" t="s">
        <v>1712</v>
      </c>
      <c r="B858" t="s">
        <v>1713</v>
      </c>
    </row>
    <row r="859" spans="1:2" x14ac:dyDescent="0.3">
      <c r="A859" t="s">
        <v>1714</v>
      </c>
      <c r="B859" t="s">
        <v>1715</v>
      </c>
    </row>
    <row r="860" spans="1:2" x14ac:dyDescent="0.3">
      <c r="A860" t="s">
        <v>1716</v>
      </c>
      <c r="B860" t="s">
        <v>1717</v>
      </c>
    </row>
    <row r="861" spans="1:2" x14ac:dyDescent="0.3">
      <c r="A861" t="s">
        <v>1718</v>
      </c>
      <c r="B861" t="s">
        <v>1719</v>
      </c>
    </row>
    <row r="862" spans="1:2" x14ac:dyDescent="0.3">
      <c r="A862" t="s">
        <v>1720</v>
      </c>
      <c r="B862" t="s">
        <v>1721</v>
      </c>
    </row>
    <row r="863" spans="1:2" x14ac:dyDescent="0.3">
      <c r="A863" t="s">
        <v>1722</v>
      </c>
      <c r="B863" t="s">
        <v>1723</v>
      </c>
    </row>
    <row r="864" spans="1:2" x14ac:dyDescent="0.3">
      <c r="A864" t="s">
        <v>1724</v>
      </c>
      <c r="B864" t="s">
        <v>1725</v>
      </c>
    </row>
    <row r="865" spans="1:2" x14ac:dyDescent="0.3">
      <c r="A865" t="s">
        <v>1726</v>
      </c>
      <c r="B865" t="s">
        <v>1727</v>
      </c>
    </row>
    <row r="866" spans="1:2" x14ac:dyDescent="0.3">
      <c r="A866" t="s">
        <v>1728</v>
      </c>
      <c r="B866" t="s">
        <v>1729</v>
      </c>
    </row>
    <row r="867" spans="1:2" x14ac:dyDescent="0.3">
      <c r="A867" t="s">
        <v>1730</v>
      </c>
      <c r="B867" t="s">
        <v>1731</v>
      </c>
    </row>
    <row r="868" spans="1:2" x14ac:dyDescent="0.3">
      <c r="A868" t="s">
        <v>1732</v>
      </c>
      <c r="B868" t="s">
        <v>1733</v>
      </c>
    </row>
    <row r="869" spans="1:2" x14ac:dyDescent="0.3">
      <c r="A869" t="s">
        <v>1734</v>
      </c>
      <c r="B869" t="s">
        <v>1735</v>
      </c>
    </row>
    <row r="870" spans="1:2" x14ac:dyDescent="0.3">
      <c r="A870" t="s">
        <v>1736</v>
      </c>
      <c r="B870" t="s">
        <v>1737</v>
      </c>
    </row>
    <row r="871" spans="1:2" x14ac:dyDescent="0.3">
      <c r="A871" t="s">
        <v>1738</v>
      </c>
      <c r="B871" t="s">
        <v>1739</v>
      </c>
    </row>
    <row r="872" spans="1:2" x14ac:dyDescent="0.3">
      <c r="A872" t="s">
        <v>1740</v>
      </c>
      <c r="B872" t="s">
        <v>1741</v>
      </c>
    </row>
    <row r="873" spans="1:2" x14ac:dyDescent="0.3">
      <c r="A873" t="s">
        <v>1742</v>
      </c>
      <c r="B873" t="s">
        <v>1743</v>
      </c>
    </row>
    <row r="874" spans="1:2" x14ac:dyDescent="0.3">
      <c r="A874" t="s">
        <v>1744</v>
      </c>
      <c r="B874" t="s">
        <v>1745</v>
      </c>
    </row>
    <row r="875" spans="1:2" x14ac:dyDescent="0.3">
      <c r="A875" t="s">
        <v>1746</v>
      </c>
      <c r="B875" t="s">
        <v>1747</v>
      </c>
    </row>
    <row r="876" spans="1:2" x14ac:dyDescent="0.3">
      <c r="A876" t="s">
        <v>1748</v>
      </c>
      <c r="B876" t="s">
        <v>1749</v>
      </c>
    </row>
    <row r="877" spans="1:2" x14ac:dyDescent="0.3">
      <c r="A877" t="s">
        <v>1750</v>
      </c>
      <c r="B877" t="s">
        <v>1751</v>
      </c>
    </row>
    <row r="878" spans="1:2" x14ac:dyDescent="0.3">
      <c r="A878" t="s">
        <v>1752</v>
      </c>
      <c r="B878" t="s">
        <v>1753</v>
      </c>
    </row>
    <row r="879" spans="1:2" x14ac:dyDescent="0.3">
      <c r="A879" t="s">
        <v>1754</v>
      </c>
      <c r="B879" t="s">
        <v>1755</v>
      </c>
    </row>
    <row r="880" spans="1:2" x14ac:dyDescent="0.3">
      <c r="A880" t="s">
        <v>1756</v>
      </c>
      <c r="B880" t="s">
        <v>1757</v>
      </c>
    </row>
    <row r="881" spans="1:2" x14ac:dyDescent="0.3">
      <c r="A881" t="s">
        <v>1758</v>
      </c>
      <c r="B881" t="s">
        <v>1759</v>
      </c>
    </row>
    <row r="882" spans="1:2" x14ac:dyDescent="0.3">
      <c r="A882" t="s">
        <v>1760</v>
      </c>
      <c r="B882" t="s">
        <v>1761</v>
      </c>
    </row>
    <row r="883" spans="1:2" x14ac:dyDescent="0.3">
      <c r="A883" t="s">
        <v>1762</v>
      </c>
      <c r="B883" t="s">
        <v>1763</v>
      </c>
    </row>
    <row r="884" spans="1:2" x14ac:dyDescent="0.3">
      <c r="A884" t="s">
        <v>1764</v>
      </c>
      <c r="B884" t="s">
        <v>1765</v>
      </c>
    </row>
    <row r="885" spans="1:2" x14ac:dyDescent="0.3">
      <c r="A885" t="s">
        <v>1766</v>
      </c>
      <c r="B885" t="s">
        <v>1767</v>
      </c>
    </row>
    <row r="886" spans="1:2" x14ac:dyDescent="0.3">
      <c r="A886" t="s">
        <v>1768</v>
      </c>
      <c r="B886" t="s">
        <v>1769</v>
      </c>
    </row>
    <row r="887" spans="1:2" x14ac:dyDescent="0.3">
      <c r="A887" t="s">
        <v>1770</v>
      </c>
      <c r="B887" t="s">
        <v>1771</v>
      </c>
    </row>
    <row r="888" spans="1:2" x14ac:dyDescent="0.3">
      <c r="A888" t="s">
        <v>1772</v>
      </c>
      <c r="B888" t="s">
        <v>1773</v>
      </c>
    </row>
    <row r="889" spans="1:2" x14ac:dyDescent="0.3">
      <c r="A889" t="s">
        <v>1774</v>
      </c>
      <c r="B889" t="s">
        <v>1775</v>
      </c>
    </row>
    <row r="890" spans="1:2" x14ac:dyDescent="0.3">
      <c r="A890" t="s">
        <v>1776</v>
      </c>
      <c r="B890" t="s">
        <v>1777</v>
      </c>
    </row>
    <row r="891" spans="1:2" x14ac:dyDescent="0.3">
      <c r="A891" t="s">
        <v>1778</v>
      </c>
      <c r="B891" t="s">
        <v>1779</v>
      </c>
    </row>
    <row r="892" spans="1:2" x14ac:dyDescent="0.3">
      <c r="A892" t="s">
        <v>1780</v>
      </c>
      <c r="B892" t="s">
        <v>1781</v>
      </c>
    </row>
    <row r="893" spans="1:2" x14ac:dyDescent="0.3">
      <c r="A893" t="s">
        <v>1782</v>
      </c>
      <c r="B893" t="s">
        <v>1783</v>
      </c>
    </row>
    <row r="894" spans="1:2" x14ac:dyDescent="0.3">
      <c r="A894" t="s">
        <v>1784</v>
      </c>
      <c r="B894" t="s">
        <v>1785</v>
      </c>
    </row>
    <row r="895" spans="1:2" x14ac:dyDescent="0.3">
      <c r="A895" t="s">
        <v>1786</v>
      </c>
      <c r="B895" t="s">
        <v>1787</v>
      </c>
    </row>
    <row r="896" spans="1:2" x14ac:dyDescent="0.3">
      <c r="A896" t="s">
        <v>1788</v>
      </c>
      <c r="B896" t="s">
        <v>1789</v>
      </c>
    </row>
    <row r="897" spans="1:2" x14ac:dyDescent="0.3">
      <c r="A897" t="s">
        <v>1790</v>
      </c>
      <c r="B897" t="s">
        <v>1791</v>
      </c>
    </row>
    <row r="898" spans="1:2" x14ac:dyDescent="0.3">
      <c r="A898" t="s">
        <v>1792</v>
      </c>
      <c r="B898" t="s">
        <v>1793</v>
      </c>
    </row>
    <row r="899" spans="1:2" x14ac:dyDescent="0.3">
      <c r="A899" t="s">
        <v>1794</v>
      </c>
      <c r="B899" t="s">
        <v>1795</v>
      </c>
    </row>
    <row r="900" spans="1:2" x14ac:dyDescent="0.3">
      <c r="A900" t="s">
        <v>1796</v>
      </c>
      <c r="B900" t="s">
        <v>1797</v>
      </c>
    </row>
    <row r="901" spans="1:2" x14ac:dyDescent="0.3">
      <c r="A901" t="s">
        <v>1798</v>
      </c>
      <c r="B901" t="s">
        <v>1799</v>
      </c>
    </row>
    <row r="902" spans="1:2" x14ac:dyDescent="0.3">
      <c r="A902" t="s">
        <v>1800</v>
      </c>
      <c r="B902" t="s">
        <v>1801</v>
      </c>
    </row>
    <row r="903" spans="1:2" x14ac:dyDescent="0.3">
      <c r="A903" t="s">
        <v>1802</v>
      </c>
      <c r="B903" t="s">
        <v>1803</v>
      </c>
    </row>
    <row r="904" spans="1:2" x14ac:dyDescent="0.3">
      <c r="A904" t="s">
        <v>1804</v>
      </c>
      <c r="B904" t="s">
        <v>1805</v>
      </c>
    </row>
    <row r="905" spans="1:2" x14ac:dyDescent="0.3">
      <c r="A905" t="s">
        <v>1806</v>
      </c>
      <c r="B905" t="s">
        <v>1807</v>
      </c>
    </row>
    <row r="906" spans="1:2" x14ac:dyDescent="0.3">
      <c r="A906" t="s">
        <v>1808</v>
      </c>
      <c r="B906" t="s">
        <v>1809</v>
      </c>
    </row>
    <row r="907" spans="1:2" x14ac:dyDescent="0.3">
      <c r="A907" t="s">
        <v>1810</v>
      </c>
      <c r="B907" t="s">
        <v>1811</v>
      </c>
    </row>
    <row r="908" spans="1:2" x14ac:dyDescent="0.3">
      <c r="A908" t="s">
        <v>1812</v>
      </c>
      <c r="B908" t="s">
        <v>1813</v>
      </c>
    </row>
    <row r="909" spans="1:2" x14ac:dyDescent="0.3">
      <c r="A909" t="s">
        <v>1814</v>
      </c>
      <c r="B909" t="s">
        <v>1815</v>
      </c>
    </row>
    <row r="910" spans="1:2" x14ac:dyDescent="0.3">
      <c r="A910" t="s">
        <v>1816</v>
      </c>
      <c r="B910" t="s">
        <v>1817</v>
      </c>
    </row>
    <row r="911" spans="1:2" x14ac:dyDescent="0.3">
      <c r="A911" t="s">
        <v>1818</v>
      </c>
      <c r="B911" t="s">
        <v>1819</v>
      </c>
    </row>
    <row r="912" spans="1:2" x14ac:dyDescent="0.3">
      <c r="A912" t="s">
        <v>1820</v>
      </c>
      <c r="B912" t="s">
        <v>1821</v>
      </c>
    </row>
    <row r="913" spans="1:2" x14ac:dyDescent="0.3">
      <c r="A913" t="s">
        <v>1822</v>
      </c>
      <c r="B913" t="s">
        <v>1823</v>
      </c>
    </row>
    <row r="914" spans="1:2" x14ac:dyDescent="0.3">
      <c r="A914" t="s">
        <v>1824</v>
      </c>
      <c r="B914" t="s">
        <v>1825</v>
      </c>
    </row>
    <row r="915" spans="1:2" x14ac:dyDescent="0.3">
      <c r="A915" t="s">
        <v>1826</v>
      </c>
      <c r="B915" t="s">
        <v>1827</v>
      </c>
    </row>
    <row r="916" spans="1:2" x14ac:dyDescent="0.3">
      <c r="A916" t="s">
        <v>1828</v>
      </c>
      <c r="B916" t="s">
        <v>1829</v>
      </c>
    </row>
    <row r="917" spans="1:2" x14ac:dyDescent="0.3">
      <c r="A917" t="s">
        <v>1830</v>
      </c>
      <c r="B917" t="s">
        <v>1831</v>
      </c>
    </row>
    <row r="918" spans="1:2" x14ac:dyDescent="0.3">
      <c r="A918" t="s">
        <v>1832</v>
      </c>
      <c r="B918" t="s">
        <v>1833</v>
      </c>
    </row>
    <row r="919" spans="1:2" x14ac:dyDescent="0.3">
      <c r="A919" t="s">
        <v>1834</v>
      </c>
      <c r="B919" t="s">
        <v>1835</v>
      </c>
    </row>
    <row r="920" spans="1:2" x14ac:dyDescent="0.3">
      <c r="A920" t="s">
        <v>1836</v>
      </c>
      <c r="B920" t="s">
        <v>1837</v>
      </c>
    </row>
    <row r="921" spans="1:2" x14ac:dyDescent="0.3">
      <c r="A921" t="s">
        <v>1838</v>
      </c>
      <c r="B921" t="s">
        <v>1839</v>
      </c>
    </row>
    <row r="922" spans="1:2" x14ac:dyDescent="0.3">
      <c r="A922" t="s">
        <v>1840</v>
      </c>
      <c r="B922" t="s">
        <v>1841</v>
      </c>
    </row>
    <row r="923" spans="1:2" x14ac:dyDescent="0.3">
      <c r="A923" t="s">
        <v>1842</v>
      </c>
      <c r="B923" t="s">
        <v>1843</v>
      </c>
    </row>
    <row r="924" spans="1:2" x14ac:dyDescent="0.3">
      <c r="A924" t="s">
        <v>1844</v>
      </c>
      <c r="B924" t="s">
        <v>1845</v>
      </c>
    </row>
    <row r="925" spans="1:2" x14ac:dyDescent="0.3">
      <c r="A925" t="s">
        <v>1846</v>
      </c>
      <c r="B925" t="s">
        <v>1847</v>
      </c>
    </row>
    <row r="926" spans="1:2" x14ac:dyDescent="0.3">
      <c r="A926" t="s">
        <v>1848</v>
      </c>
      <c r="B926" t="s">
        <v>1849</v>
      </c>
    </row>
    <row r="927" spans="1:2" x14ac:dyDescent="0.3">
      <c r="A927" t="s">
        <v>1850</v>
      </c>
      <c r="B927" t="s">
        <v>1851</v>
      </c>
    </row>
    <row r="928" spans="1:2" x14ac:dyDescent="0.3">
      <c r="A928" t="s">
        <v>1852</v>
      </c>
      <c r="B928" t="s">
        <v>1853</v>
      </c>
    </row>
    <row r="929" spans="1:2" x14ac:dyDescent="0.3">
      <c r="A929" t="s">
        <v>1854</v>
      </c>
      <c r="B929" t="s">
        <v>1855</v>
      </c>
    </row>
    <row r="930" spans="1:2" x14ac:dyDescent="0.3">
      <c r="A930" t="s">
        <v>1856</v>
      </c>
      <c r="B930" t="s">
        <v>1857</v>
      </c>
    </row>
    <row r="931" spans="1:2" x14ac:dyDescent="0.3">
      <c r="A931" t="s">
        <v>1858</v>
      </c>
      <c r="B931" t="s">
        <v>1859</v>
      </c>
    </row>
    <row r="932" spans="1:2" x14ac:dyDescent="0.3">
      <c r="A932" t="s">
        <v>1860</v>
      </c>
      <c r="B932" t="s">
        <v>1861</v>
      </c>
    </row>
    <row r="933" spans="1:2" x14ac:dyDescent="0.3">
      <c r="A933" t="s">
        <v>1862</v>
      </c>
      <c r="B933" t="s">
        <v>1863</v>
      </c>
    </row>
    <row r="934" spans="1:2" x14ac:dyDescent="0.3">
      <c r="A934" t="s">
        <v>1864</v>
      </c>
      <c r="B934" t="s">
        <v>1865</v>
      </c>
    </row>
    <row r="935" spans="1:2" x14ac:dyDescent="0.3">
      <c r="A935" t="s">
        <v>1866</v>
      </c>
      <c r="B935" t="s">
        <v>1867</v>
      </c>
    </row>
    <row r="936" spans="1:2" x14ac:dyDescent="0.3">
      <c r="A936" t="s">
        <v>1868</v>
      </c>
      <c r="B936" t="s">
        <v>1869</v>
      </c>
    </row>
    <row r="937" spans="1:2" x14ac:dyDescent="0.3">
      <c r="A937" t="s">
        <v>1870</v>
      </c>
      <c r="B937" t="s">
        <v>1871</v>
      </c>
    </row>
    <row r="938" spans="1:2" x14ac:dyDescent="0.3">
      <c r="A938" t="s">
        <v>1872</v>
      </c>
      <c r="B938" t="s">
        <v>1873</v>
      </c>
    </row>
    <row r="939" spans="1:2" x14ac:dyDescent="0.3">
      <c r="A939" t="s">
        <v>1874</v>
      </c>
      <c r="B939" t="s">
        <v>1875</v>
      </c>
    </row>
    <row r="940" spans="1:2" x14ac:dyDescent="0.3">
      <c r="A940" t="s">
        <v>1876</v>
      </c>
      <c r="B940" t="s">
        <v>1877</v>
      </c>
    </row>
    <row r="941" spans="1:2" x14ac:dyDescent="0.3">
      <c r="A941" t="s">
        <v>1878</v>
      </c>
      <c r="B941" t="s">
        <v>1879</v>
      </c>
    </row>
    <row r="942" spans="1:2" x14ac:dyDescent="0.3">
      <c r="A942" t="s">
        <v>1880</v>
      </c>
      <c r="B942" t="s">
        <v>1881</v>
      </c>
    </row>
    <row r="943" spans="1:2" x14ac:dyDescent="0.3">
      <c r="A943" t="s">
        <v>1882</v>
      </c>
      <c r="B943" t="s">
        <v>1883</v>
      </c>
    </row>
    <row r="944" spans="1:2" x14ac:dyDescent="0.3">
      <c r="A944" t="s">
        <v>1884</v>
      </c>
      <c r="B944" t="s">
        <v>1885</v>
      </c>
    </row>
    <row r="945" spans="1:2" x14ac:dyDescent="0.3">
      <c r="A945" t="s">
        <v>1886</v>
      </c>
      <c r="B945" t="s">
        <v>1887</v>
      </c>
    </row>
    <row r="946" spans="1:2" x14ac:dyDescent="0.3">
      <c r="A946" t="s">
        <v>1888</v>
      </c>
      <c r="B946" t="s">
        <v>1889</v>
      </c>
    </row>
    <row r="947" spans="1:2" x14ac:dyDescent="0.3">
      <c r="A947" t="s">
        <v>1890</v>
      </c>
      <c r="B947" t="s">
        <v>1891</v>
      </c>
    </row>
    <row r="948" spans="1:2" x14ac:dyDescent="0.3">
      <c r="A948" t="s">
        <v>1892</v>
      </c>
      <c r="B948" t="s">
        <v>1893</v>
      </c>
    </row>
    <row r="949" spans="1:2" x14ac:dyDescent="0.3">
      <c r="A949" t="s">
        <v>1894</v>
      </c>
      <c r="B949" t="s">
        <v>1895</v>
      </c>
    </row>
    <row r="950" spans="1:2" x14ac:dyDescent="0.3">
      <c r="A950" t="s">
        <v>1896</v>
      </c>
      <c r="B950" t="s">
        <v>1897</v>
      </c>
    </row>
    <row r="951" spans="1:2" x14ac:dyDescent="0.3">
      <c r="A951" t="s">
        <v>1898</v>
      </c>
      <c r="B951" t="s">
        <v>1899</v>
      </c>
    </row>
    <row r="952" spans="1:2" x14ac:dyDescent="0.3">
      <c r="A952" t="s">
        <v>1900</v>
      </c>
      <c r="B952" t="s">
        <v>1901</v>
      </c>
    </row>
    <row r="953" spans="1:2" x14ac:dyDescent="0.3">
      <c r="A953" t="s">
        <v>1902</v>
      </c>
      <c r="B953" t="s">
        <v>1903</v>
      </c>
    </row>
    <row r="954" spans="1:2" x14ac:dyDescent="0.3">
      <c r="A954" t="s">
        <v>1904</v>
      </c>
      <c r="B954" t="s">
        <v>1905</v>
      </c>
    </row>
    <row r="955" spans="1:2" x14ac:dyDescent="0.3">
      <c r="A955" t="s">
        <v>1906</v>
      </c>
      <c r="B955" t="s">
        <v>1907</v>
      </c>
    </row>
    <row r="956" spans="1:2" x14ac:dyDescent="0.3">
      <c r="A956" t="s">
        <v>1908</v>
      </c>
      <c r="B956" t="s">
        <v>1909</v>
      </c>
    </row>
    <row r="957" spans="1:2" x14ac:dyDescent="0.3">
      <c r="A957" t="s">
        <v>1910</v>
      </c>
      <c r="B957" t="s">
        <v>1911</v>
      </c>
    </row>
    <row r="958" spans="1:2" x14ac:dyDescent="0.3">
      <c r="A958" t="s">
        <v>1912</v>
      </c>
      <c r="B958" t="s">
        <v>1913</v>
      </c>
    </row>
    <row r="959" spans="1:2" x14ac:dyDescent="0.3">
      <c r="A959" t="s">
        <v>1914</v>
      </c>
      <c r="B959" t="s">
        <v>1915</v>
      </c>
    </row>
    <row r="960" spans="1:2" x14ac:dyDescent="0.3">
      <c r="A960" t="s">
        <v>1916</v>
      </c>
      <c r="B960" t="s">
        <v>1917</v>
      </c>
    </row>
    <row r="961" spans="1:2" x14ac:dyDescent="0.3">
      <c r="A961" t="s">
        <v>1918</v>
      </c>
      <c r="B961" t="s">
        <v>1919</v>
      </c>
    </row>
    <row r="962" spans="1:2" x14ac:dyDescent="0.3">
      <c r="A962" t="s">
        <v>1920</v>
      </c>
      <c r="B962" t="s">
        <v>1921</v>
      </c>
    </row>
    <row r="963" spans="1:2" x14ac:dyDescent="0.3">
      <c r="A963" t="s">
        <v>1922</v>
      </c>
      <c r="B963" t="s">
        <v>1923</v>
      </c>
    </row>
    <row r="964" spans="1:2" x14ac:dyDescent="0.3">
      <c r="A964" t="s">
        <v>1924</v>
      </c>
      <c r="B964" t="s">
        <v>1925</v>
      </c>
    </row>
    <row r="965" spans="1:2" x14ac:dyDescent="0.3">
      <c r="A965" t="s">
        <v>1926</v>
      </c>
      <c r="B965" t="s">
        <v>1927</v>
      </c>
    </row>
    <row r="966" spans="1:2" x14ac:dyDescent="0.3">
      <c r="A966" t="s">
        <v>1928</v>
      </c>
      <c r="B966" t="s">
        <v>1929</v>
      </c>
    </row>
    <row r="967" spans="1:2" x14ac:dyDescent="0.3">
      <c r="A967" t="s">
        <v>1930</v>
      </c>
      <c r="B967" t="s">
        <v>1931</v>
      </c>
    </row>
    <row r="968" spans="1:2" x14ac:dyDescent="0.3">
      <c r="A968" t="s">
        <v>1932</v>
      </c>
      <c r="B968" t="s">
        <v>1933</v>
      </c>
    </row>
    <row r="969" spans="1:2" x14ac:dyDescent="0.3">
      <c r="A969" t="s">
        <v>1934</v>
      </c>
      <c r="B969" t="s">
        <v>1935</v>
      </c>
    </row>
    <row r="970" spans="1:2" x14ac:dyDescent="0.3">
      <c r="A970" t="s">
        <v>1936</v>
      </c>
      <c r="B970" t="s">
        <v>1937</v>
      </c>
    </row>
    <row r="971" spans="1:2" x14ac:dyDescent="0.3">
      <c r="A971" t="s">
        <v>1938</v>
      </c>
      <c r="B971" t="s">
        <v>1939</v>
      </c>
    </row>
    <row r="972" spans="1:2" x14ac:dyDescent="0.3">
      <c r="A972" t="s">
        <v>1940</v>
      </c>
      <c r="B972" t="s">
        <v>1941</v>
      </c>
    </row>
    <row r="973" spans="1:2" x14ac:dyDescent="0.3">
      <c r="A973" t="s">
        <v>1942</v>
      </c>
      <c r="B973" t="s">
        <v>1943</v>
      </c>
    </row>
    <row r="974" spans="1:2" x14ac:dyDescent="0.3">
      <c r="A974" t="s">
        <v>1944</v>
      </c>
      <c r="B974" t="s">
        <v>1945</v>
      </c>
    </row>
    <row r="975" spans="1:2" x14ac:dyDescent="0.3">
      <c r="A975" t="s">
        <v>1946</v>
      </c>
      <c r="B975" t="s">
        <v>1947</v>
      </c>
    </row>
    <row r="976" spans="1:2" x14ac:dyDescent="0.3">
      <c r="A976" t="s">
        <v>1948</v>
      </c>
      <c r="B976" t="s">
        <v>1949</v>
      </c>
    </row>
    <row r="977" spans="1:2" x14ac:dyDescent="0.3">
      <c r="A977" t="s">
        <v>1950</v>
      </c>
      <c r="B977" t="s">
        <v>1951</v>
      </c>
    </row>
    <row r="978" spans="1:2" x14ac:dyDescent="0.3">
      <c r="A978" t="s">
        <v>1952</v>
      </c>
      <c r="B978" t="s">
        <v>1953</v>
      </c>
    </row>
    <row r="979" spans="1:2" x14ac:dyDescent="0.3">
      <c r="A979" t="s">
        <v>1954</v>
      </c>
      <c r="B979" t="s">
        <v>1955</v>
      </c>
    </row>
    <row r="980" spans="1:2" x14ac:dyDescent="0.3">
      <c r="A980" t="s">
        <v>1956</v>
      </c>
      <c r="B980" t="s">
        <v>1957</v>
      </c>
    </row>
    <row r="981" spans="1:2" x14ac:dyDescent="0.3">
      <c r="A981" t="s">
        <v>1958</v>
      </c>
      <c r="B981" t="s">
        <v>1959</v>
      </c>
    </row>
    <row r="982" spans="1:2" x14ac:dyDescent="0.3">
      <c r="A982" t="s">
        <v>1960</v>
      </c>
      <c r="B982" t="s">
        <v>1961</v>
      </c>
    </row>
    <row r="983" spans="1:2" x14ac:dyDescent="0.3">
      <c r="A983" t="s">
        <v>1962</v>
      </c>
      <c r="B983" t="s">
        <v>1963</v>
      </c>
    </row>
    <row r="984" spans="1:2" x14ac:dyDescent="0.3">
      <c r="A984" t="s">
        <v>1964</v>
      </c>
      <c r="B984" t="s">
        <v>1965</v>
      </c>
    </row>
    <row r="985" spans="1:2" x14ac:dyDescent="0.3">
      <c r="A985" t="s">
        <v>1966</v>
      </c>
      <c r="B985" t="s">
        <v>1967</v>
      </c>
    </row>
    <row r="986" spans="1:2" x14ac:dyDescent="0.3">
      <c r="A986" t="s">
        <v>1968</v>
      </c>
      <c r="B986" t="s">
        <v>1969</v>
      </c>
    </row>
    <row r="987" spans="1:2" x14ac:dyDescent="0.3">
      <c r="A987" t="s">
        <v>1970</v>
      </c>
      <c r="B987" t="s">
        <v>1971</v>
      </c>
    </row>
    <row r="988" spans="1:2" x14ac:dyDescent="0.3">
      <c r="A988" t="s">
        <v>1972</v>
      </c>
      <c r="B988" t="s">
        <v>1973</v>
      </c>
    </row>
    <row r="989" spans="1:2" x14ac:dyDescent="0.3">
      <c r="A989" t="s">
        <v>1974</v>
      </c>
      <c r="B989" t="s">
        <v>1975</v>
      </c>
    </row>
    <row r="990" spans="1:2" x14ac:dyDescent="0.3">
      <c r="A990" t="s">
        <v>1976</v>
      </c>
      <c r="B990" t="s">
        <v>1977</v>
      </c>
    </row>
    <row r="991" spans="1:2" x14ac:dyDescent="0.3">
      <c r="A991" t="s">
        <v>1978</v>
      </c>
      <c r="B991" t="s">
        <v>1979</v>
      </c>
    </row>
    <row r="992" spans="1:2" x14ac:dyDescent="0.3">
      <c r="A992" t="s">
        <v>1980</v>
      </c>
      <c r="B992" t="s">
        <v>1981</v>
      </c>
    </row>
    <row r="993" spans="1:2" x14ac:dyDescent="0.3">
      <c r="A993" t="s">
        <v>1982</v>
      </c>
      <c r="B993" t="s">
        <v>1983</v>
      </c>
    </row>
    <row r="994" spans="1:2" x14ac:dyDescent="0.3">
      <c r="A994" t="s">
        <v>1984</v>
      </c>
      <c r="B994" t="s">
        <v>1985</v>
      </c>
    </row>
    <row r="995" spans="1:2" x14ac:dyDescent="0.3">
      <c r="A995" t="s">
        <v>1986</v>
      </c>
      <c r="B995" t="s">
        <v>1987</v>
      </c>
    </row>
    <row r="996" spans="1:2" x14ac:dyDescent="0.3">
      <c r="A996" t="s">
        <v>1988</v>
      </c>
      <c r="B996" t="s">
        <v>1989</v>
      </c>
    </row>
    <row r="997" spans="1:2" x14ac:dyDescent="0.3">
      <c r="A997" t="s">
        <v>1990</v>
      </c>
      <c r="B997" t="s">
        <v>1991</v>
      </c>
    </row>
    <row r="998" spans="1:2" x14ac:dyDescent="0.3">
      <c r="A998" t="s">
        <v>1992</v>
      </c>
      <c r="B998" t="s">
        <v>1993</v>
      </c>
    </row>
    <row r="999" spans="1:2" x14ac:dyDescent="0.3">
      <c r="A999" t="s">
        <v>1994</v>
      </c>
      <c r="B999" t="s">
        <v>1995</v>
      </c>
    </row>
    <row r="1000" spans="1:2" x14ac:dyDescent="0.3">
      <c r="A1000" t="s">
        <v>1996</v>
      </c>
      <c r="B1000" t="s">
        <v>1997</v>
      </c>
    </row>
    <row r="1001" spans="1:2" x14ac:dyDescent="0.3">
      <c r="A1001" t="s">
        <v>1998</v>
      </c>
      <c r="B1001" t="s">
        <v>1999</v>
      </c>
    </row>
    <row r="1002" spans="1:2" x14ac:dyDescent="0.3">
      <c r="A1002" t="s">
        <v>2000</v>
      </c>
      <c r="B1002" t="s">
        <v>2001</v>
      </c>
    </row>
    <row r="1003" spans="1:2" x14ac:dyDescent="0.3">
      <c r="A1003" t="s">
        <v>2002</v>
      </c>
      <c r="B1003" t="s">
        <v>2003</v>
      </c>
    </row>
    <row r="1004" spans="1:2" x14ac:dyDescent="0.3">
      <c r="A1004" t="s">
        <v>2004</v>
      </c>
      <c r="B1004" t="s">
        <v>2005</v>
      </c>
    </row>
    <row r="1005" spans="1:2" x14ac:dyDescent="0.3">
      <c r="A1005" t="s">
        <v>2006</v>
      </c>
      <c r="B1005" t="s">
        <v>2007</v>
      </c>
    </row>
    <row r="1006" spans="1:2" x14ac:dyDescent="0.3">
      <c r="A1006" t="s">
        <v>2008</v>
      </c>
      <c r="B1006" t="s">
        <v>2009</v>
      </c>
    </row>
    <row r="1007" spans="1:2" x14ac:dyDescent="0.3">
      <c r="A1007" t="s">
        <v>2010</v>
      </c>
      <c r="B1007" t="s">
        <v>2011</v>
      </c>
    </row>
    <row r="1008" spans="1:2" x14ac:dyDescent="0.3">
      <c r="A1008" t="s">
        <v>2012</v>
      </c>
      <c r="B1008" t="s">
        <v>2013</v>
      </c>
    </row>
    <row r="1009" spans="1:2" x14ac:dyDescent="0.3">
      <c r="A1009" t="s">
        <v>2014</v>
      </c>
      <c r="B1009" t="s">
        <v>2015</v>
      </c>
    </row>
    <row r="1010" spans="1:2" x14ac:dyDescent="0.3">
      <c r="A1010" t="s">
        <v>2016</v>
      </c>
      <c r="B1010" t="s">
        <v>2017</v>
      </c>
    </row>
    <row r="1011" spans="1:2" x14ac:dyDescent="0.3">
      <c r="A1011" t="s">
        <v>2018</v>
      </c>
      <c r="B1011" t="s">
        <v>2019</v>
      </c>
    </row>
    <row r="1012" spans="1:2" x14ac:dyDescent="0.3">
      <c r="A1012" t="s">
        <v>2020</v>
      </c>
      <c r="B1012" t="s">
        <v>2021</v>
      </c>
    </row>
    <row r="1013" spans="1:2" x14ac:dyDescent="0.3">
      <c r="A1013" t="s">
        <v>2022</v>
      </c>
      <c r="B1013" t="s">
        <v>2023</v>
      </c>
    </row>
    <row r="1014" spans="1:2" x14ac:dyDescent="0.3">
      <c r="A1014" t="s">
        <v>2024</v>
      </c>
      <c r="B1014" t="s">
        <v>2025</v>
      </c>
    </row>
    <row r="1015" spans="1:2" x14ac:dyDescent="0.3">
      <c r="A1015" t="s">
        <v>2026</v>
      </c>
      <c r="B1015" t="s">
        <v>2027</v>
      </c>
    </row>
    <row r="1016" spans="1:2" x14ac:dyDescent="0.3">
      <c r="A1016" t="s">
        <v>2028</v>
      </c>
      <c r="B1016" t="s">
        <v>2029</v>
      </c>
    </row>
    <row r="1017" spans="1:2" x14ac:dyDescent="0.3">
      <c r="A1017" t="s">
        <v>2030</v>
      </c>
      <c r="B1017" t="s">
        <v>2031</v>
      </c>
    </row>
    <row r="1018" spans="1:2" x14ac:dyDescent="0.3">
      <c r="A1018" t="s">
        <v>2032</v>
      </c>
      <c r="B1018" t="s">
        <v>2033</v>
      </c>
    </row>
    <row r="1019" spans="1:2" x14ac:dyDescent="0.3">
      <c r="A1019" t="s">
        <v>2034</v>
      </c>
      <c r="B1019" t="s">
        <v>2035</v>
      </c>
    </row>
    <row r="1020" spans="1:2" x14ac:dyDescent="0.3">
      <c r="A1020" t="s">
        <v>2036</v>
      </c>
      <c r="B1020" t="s">
        <v>2037</v>
      </c>
    </row>
    <row r="1021" spans="1:2" x14ac:dyDescent="0.3">
      <c r="A1021" t="s">
        <v>2038</v>
      </c>
      <c r="B1021" t="s">
        <v>2039</v>
      </c>
    </row>
    <row r="1022" spans="1:2" x14ac:dyDescent="0.3">
      <c r="A1022" t="s">
        <v>2040</v>
      </c>
      <c r="B1022" t="s">
        <v>2041</v>
      </c>
    </row>
    <row r="1023" spans="1:2" x14ac:dyDescent="0.3">
      <c r="A1023" t="s">
        <v>2042</v>
      </c>
      <c r="B1023" t="s">
        <v>2043</v>
      </c>
    </row>
    <row r="1024" spans="1:2" x14ac:dyDescent="0.3">
      <c r="A1024" t="s">
        <v>2044</v>
      </c>
      <c r="B1024" t="s">
        <v>2045</v>
      </c>
    </row>
    <row r="1025" spans="1:2" x14ac:dyDescent="0.3">
      <c r="A1025" t="s">
        <v>2046</v>
      </c>
      <c r="B1025" t="s">
        <v>2047</v>
      </c>
    </row>
    <row r="1026" spans="1:2" x14ac:dyDescent="0.3">
      <c r="A1026" t="s">
        <v>2048</v>
      </c>
      <c r="B1026" t="s">
        <v>2049</v>
      </c>
    </row>
    <row r="1027" spans="1:2" x14ac:dyDescent="0.3">
      <c r="A1027" t="s">
        <v>2050</v>
      </c>
      <c r="B1027" t="s">
        <v>2051</v>
      </c>
    </row>
    <row r="1028" spans="1:2" x14ac:dyDescent="0.3">
      <c r="A1028" t="s">
        <v>2052</v>
      </c>
      <c r="B1028" t="s">
        <v>2053</v>
      </c>
    </row>
    <row r="1029" spans="1:2" x14ac:dyDescent="0.3">
      <c r="A1029" t="s">
        <v>2054</v>
      </c>
      <c r="B1029" t="s">
        <v>2055</v>
      </c>
    </row>
    <row r="1030" spans="1:2" x14ac:dyDescent="0.3">
      <c r="A1030" t="s">
        <v>2056</v>
      </c>
      <c r="B1030" t="s">
        <v>2057</v>
      </c>
    </row>
    <row r="1031" spans="1:2" x14ac:dyDescent="0.3">
      <c r="A1031" t="s">
        <v>2058</v>
      </c>
      <c r="B1031" t="s">
        <v>2059</v>
      </c>
    </row>
    <row r="1032" spans="1:2" x14ac:dyDescent="0.3">
      <c r="A1032" t="s">
        <v>2060</v>
      </c>
      <c r="B1032" t="s">
        <v>2061</v>
      </c>
    </row>
    <row r="1033" spans="1:2" x14ac:dyDescent="0.3">
      <c r="A1033" t="s">
        <v>2062</v>
      </c>
      <c r="B1033" t="s">
        <v>2063</v>
      </c>
    </row>
    <row r="1034" spans="1:2" x14ac:dyDescent="0.3">
      <c r="A1034" t="s">
        <v>2064</v>
      </c>
      <c r="B1034" t="s">
        <v>2065</v>
      </c>
    </row>
    <row r="1035" spans="1:2" x14ac:dyDescent="0.3">
      <c r="A1035" t="s">
        <v>2066</v>
      </c>
      <c r="B1035" t="s">
        <v>2067</v>
      </c>
    </row>
    <row r="1036" spans="1:2" x14ac:dyDescent="0.3">
      <c r="A1036" t="s">
        <v>2068</v>
      </c>
      <c r="B1036" t="s">
        <v>2069</v>
      </c>
    </row>
    <row r="1037" spans="1:2" x14ac:dyDescent="0.3">
      <c r="A1037" t="s">
        <v>2070</v>
      </c>
      <c r="B1037" t="s">
        <v>2071</v>
      </c>
    </row>
    <row r="1038" spans="1:2" x14ac:dyDescent="0.3">
      <c r="A1038" t="s">
        <v>2072</v>
      </c>
      <c r="B1038" t="s">
        <v>2073</v>
      </c>
    </row>
    <row r="1039" spans="1:2" x14ac:dyDescent="0.3">
      <c r="A1039" t="s">
        <v>2074</v>
      </c>
      <c r="B1039" t="s">
        <v>2075</v>
      </c>
    </row>
    <row r="1040" spans="1:2" x14ac:dyDescent="0.3">
      <c r="A1040" t="s">
        <v>2076</v>
      </c>
      <c r="B1040" t="s">
        <v>2077</v>
      </c>
    </row>
    <row r="1041" spans="1:2" x14ac:dyDescent="0.3">
      <c r="A1041" t="s">
        <v>2078</v>
      </c>
      <c r="B1041" t="s">
        <v>2079</v>
      </c>
    </row>
    <row r="1042" spans="1:2" x14ac:dyDescent="0.3">
      <c r="A1042" t="s">
        <v>2080</v>
      </c>
      <c r="B1042" t="s">
        <v>2081</v>
      </c>
    </row>
    <row r="1043" spans="1:2" x14ac:dyDescent="0.3">
      <c r="A1043" t="s">
        <v>2082</v>
      </c>
      <c r="B1043" t="s">
        <v>2083</v>
      </c>
    </row>
    <row r="1044" spans="1:2" x14ac:dyDescent="0.3">
      <c r="A1044" t="s">
        <v>2084</v>
      </c>
      <c r="B1044" t="s">
        <v>2085</v>
      </c>
    </row>
    <row r="1045" spans="1:2" x14ac:dyDescent="0.3">
      <c r="A1045" t="s">
        <v>2086</v>
      </c>
      <c r="B1045" t="s">
        <v>2087</v>
      </c>
    </row>
    <row r="1046" spans="1:2" x14ac:dyDescent="0.3">
      <c r="A1046" t="s">
        <v>2088</v>
      </c>
      <c r="B1046" t="s">
        <v>2089</v>
      </c>
    </row>
    <row r="1047" spans="1:2" x14ac:dyDescent="0.3">
      <c r="A1047" t="s">
        <v>2090</v>
      </c>
      <c r="B1047" t="s">
        <v>2091</v>
      </c>
    </row>
    <row r="1048" spans="1:2" x14ac:dyDescent="0.3">
      <c r="A1048" t="s">
        <v>2092</v>
      </c>
      <c r="B1048" t="s">
        <v>2093</v>
      </c>
    </row>
    <row r="1049" spans="1:2" x14ac:dyDescent="0.3">
      <c r="A1049" t="s">
        <v>2094</v>
      </c>
      <c r="B1049" t="s">
        <v>2095</v>
      </c>
    </row>
    <row r="1050" spans="1:2" x14ac:dyDescent="0.3">
      <c r="A1050" t="s">
        <v>2096</v>
      </c>
      <c r="B1050" t="s">
        <v>2097</v>
      </c>
    </row>
    <row r="1051" spans="1:2" x14ac:dyDescent="0.3">
      <c r="A1051" t="s">
        <v>2098</v>
      </c>
      <c r="B1051" t="s">
        <v>2099</v>
      </c>
    </row>
    <row r="1052" spans="1:2" x14ac:dyDescent="0.3">
      <c r="A1052" t="s">
        <v>2100</v>
      </c>
      <c r="B1052" t="s">
        <v>2101</v>
      </c>
    </row>
    <row r="1053" spans="1:2" x14ac:dyDescent="0.3">
      <c r="A1053" t="s">
        <v>2102</v>
      </c>
      <c r="B1053" t="s">
        <v>2103</v>
      </c>
    </row>
    <row r="1054" spans="1:2" x14ac:dyDescent="0.3">
      <c r="A1054" t="s">
        <v>2104</v>
      </c>
      <c r="B1054" t="s">
        <v>2105</v>
      </c>
    </row>
    <row r="1055" spans="1:2" x14ac:dyDescent="0.3">
      <c r="A1055" t="s">
        <v>2106</v>
      </c>
      <c r="B1055" t="s">
        <v>2107</v>
      </c>
    </row>
    <row r="1056" spans="1:2" x14ac:dyDescent="0.3">
      <c r="A1056" t="s">
        <v>2108</v>
      </c>
      <c r="B1056" t="s">
        <v>2109</v>
      </c>
    </row>
    <row r="1057" spans="1:2" x14ac:dyDescent="0.3">
      <c r="A1057" t="s">
        <v>2110</v>
      </c>
      <c r="B1057" t="s">
        <v>2111</v>
      </c>
    </row>
    <row r="1058" spans="1:2" x14ac:dyDescent="0.3">
      <c r="A1058" t="s">
        <v>2112</v>
      </c>
      <c r="B1058" t="s">
        <v>2113</v>
      </c>
    </row>
    <row r="1059" spans="1:2" x14ac:dyDescent="0.3">
      <c r="A1059" t="s">
        <v>2114</v>
      </c>
      <c r="B1059" t="s">
        <v>2115</v>
      </c>
    </row>
    <row r="1060" spans="1:2" x14ac:dyDescent="0.3">
      <c r="A1060" t="s">
        <v>2116</v>
      </c>
      <c r="B1060" t="s">
        <v>2117</v>
      </c>
    </row>
    <row r="1061" spans="1:2" x14ac:dyDescent="0.3">
      <c r="A1061" t="s">
        <v>2118</v>
      </c>
      <c r="B1061" t="s">
        <v>2119</v>
      </c>
    </row>
    <row r="1062" spans="1:2" x14ac:dyDescent="0.3">
      <c r="A1062" t="s">
        <v>2120</v>
      </c>
      <c r="B1062" t="s">
        <v>2121</v>
      </c>
    </row>
    <row r="1063" spans="1:2" x14ac:dyDescent="0.3">
      <c r="A1063" t="s">
        <v>2122</v>
      </c>
      <c r="B1063" t="s">
        <v>2123</v>
      </c>
    </row>
    <row r="1064" spans="1:2" x14ac:dyDescent="0.3">
      <c r="A1064" t="s">
        <v>2124</v>
      </c>
      <c r="B1064" t="s">
        <v>2125</v>
      </c>
    </row>
    <row r="1065" spans="1:2" x14ac:dyDescent="0.3">
      <c r="A1065" t="s">
        <v>2126</v>
      </c>
      <c r="B1065" t="s">
        <v>2127</v>
      </c>
    </row>
    <row r="1066" spans="1:2" x14ac:dyDescent="0.3">
      <c r="A1066" t="s">
        <v>2128</v>
      </c>
      <c r="B1066" t="s">
        <v>2129</v>
      </c>
    </row>
    <row r="1067" spans="1:2" x14ac:dyDescent="0.3">
      <c r="A1067" t="s">
        <v>2130</v>
      </c>
      <c r="B1067" t="s">
        <v>2131</v>
      </c>
    </row>
    <row r="1068" spans="1:2" x14ac:dyDescent="0.3">
      <c r="A1068" t="s">
        <v>2132</v>
      </c>
      <c r="B1068" t="s">
        <v>2133</v>
      </c>
    </row>
    <row r="1069" spans="1:2" x14ac:dyDescent="0.3">
      <c r="A1069" t="s">
        <v>2134</v>
      </c>
      <c r="B1069" t="s">
        <v>2135</v>
      </c>
    </row>
    <row r="1070" spans="1:2" x14ac:dyDescent="0.3">
      <c r="A1070" t="s">
        <v>2136</v>
      </c>
      <c r="B1070" t="s">
        <v>2137</v>
      </c>
    </row>
    <row r="1071" spans="1:2" x14ac:dyDescent="0.3">
      <c r="A1071" t="s">
        <v>2138</v>
      </c>
      <c r="B1071" t="s">
        <v>2139</v>
      </c>
    </row>
    <row r="1072" spans="1:2" x14ac:dyDescent="0.3">
      <c r="A1072" t="s">
        <v>2140</v>
      </c>
      <c r="B1072" t="s">
        <v>2141</v>
      </c>
    </row>
    <row r="1073" spans="1:2" x14ac:dyDescent="0.3">
      <c r="A1073" t="s">
        <v>2142</v>
      </c>
      <c r="B1073" t="s">
        <v>2143</v>
      </c>
    </row>
    <row r="1074" spans="1:2" x14ac:dyDescent="0.3">
      <c r="A1074" t="s">
        <v>2144</v>
      </c>
      <c r="B1074" t="s">
        <v>2145</v>
      </c>
    </row>
    <row r="1075" spans="1:2" x14ac:dyDescent="0.3">
      <c r="A1075" t="s">
        <v>2146</v>
      </c>
      <c r="B1075" t="s">
        <v>2147</v>
      </c>
    </row>
    <row r="1076" spans="1:2" x14ac:dyDescent="0.3">
      <c r="A1076" t="s">
        <v>2148</v>
      </c>
      <c r="B1076" t="s">
        <v>2149</v>
      </c>
    </row>
    <row r="1077" spans="1:2" x14ac:dyDescent="0.3">
      <c r="A1077" t="s">
        <v>2150</v>
      </c>
      <c r="B1077" t="s">
        <v>2151</v>
      </c>
    </row>
    <row r="1078" spans="1:2" x14ac:dyDescent="0.3">
      <c r="A1078" t="s">
        <v>2152</v>
      </c>
      <c r="B1078" t="s">
        <v>2153</v>
      </c>
    </row>
    <row r="1079" spans="1:2" x14ac:dyDescent="0.3">
      <c r="A1079" t="s">
        <v>2154</v>
      </c>
      <c r="B1079" t="s">
        <v>2155</v>
      </c>
    </row>
    <row r="1080" spans="1:2" x14ac:dyDescent="0.3">
      <c r="A1080" t="s">
        <v>2156</v>
      </c>
      <c r="B1080" t="s">
        <v>2157</v>
      </c>
    </row>
    <row r="1081" spans="1:2" x14ac:dyDescent="0.3">
      <c r="A1081" t="s">
        <v>2158</v>
      </c>
      <c r="B1081" t="s">
        <v>2159</v>
      </c>
    </row>
    <row r="1082" spans="1:2" x14ac:dyDescent="0.3">
      <c r="A1082" t="s">
        <v>2160</v>
      </c>
      <c r="B1082" t="s">
        <v>2161</v>
      </c>
    </row>
    <row r="1083" spans="1:2" x14ac:dyDescent="0.3">
      <c r="A1083" t="s">
        <v>2162</v>
      </c>
      <c r="B1083" t="s">
        <v>2163</v>
      </c>
    </row>
    <row r="1084" spans="1:2" x14ac:dyDescent="0.3">
      <c r="A1084" t="s">
        <v>2164</v>
      </c>
      <c r="B1084" t="s">
        <v>2165</v>
      </c>
    </row>
    <row r="1085" spans="1:2" x14ac:dyDescent="0.3">
      <c r="A1085" t="s">
        <v>2166</v>
      </c>
      <c r="B1085" t="s">
        <v>2167</v>
      </c>
    </row>
    <row r="1086" spans="1:2" x14ac:dyDescent="0.3">
      <c r="A1086" t="s">
        <v>2168</v>
      </c>
      <c r="B1086" t="s">
        <v>2169</v>
      </c>
    </row>
    <row r="1087" spans="1:2" x14ac:dyDescent="0.3">
      <c r="A1087" t="s">
        <v>2170</v>
      </c>
      <c r="B1087" t="s">
        <v>2171</v>
      </c>
    </row>
    <row r="1088" spans="1:2" x14ac:dyDescent="0.3">
      <c r="A1088" t="s">
        <v>2172</v>
      </c>
      <c r="B1088" t="s">
        <v>2173</v>
      </c>
    </row>
    <row r="1089" spans="1:2" x14ac:dyDescent="0.3">
      <c r="A1089" t="s">
        <v>2174</v>
      </c>
      <c r="B1089" t="s">
        <v>2175</v>
      </c>
    </row>
    <row r="1090" spans="1:2" x14ac:dyDescent="0.3">
      <c r="A1090" t="s">
        <v>2176</v>
      </c>
      <c r="B1090" t="s">
        <v>2177</v>
      </c>
    </row>
    <row r="1091" spans="1:2" x14ac:dyDescent="0.3">
      <c r="A1091" t="s">
        <v>2178</v>
      </c>
      <c r="B1091" t="s">
        <v>2179</v>
      </c>
    </row>
    <row r="1092" spans="1:2" x14ac:dyDescent="0.3">
      <c r="A1092" t="s">
        <v>2180</v>
      </c>
      <c r="B1092" t="s">
        <v>2181</v>
      </c>
    </row>
    <row r="1093" spans="1:2" x14ac:dyDescent="0.3">
      <c r="A1093" t="s">
        <v>2182</v>
      </c>
      <c r="B1093" t="s">
        <v>2183</v>
      </c>
    </row>
    <row r="1094" spans="1:2" x14ac:dyDescent="0.3">
      <c r="A1094" t="s">
        <v>2184</v>
      </c>
      <c r="B1094" t="s">
        <v>2185</v>
      </c>
    </row>
    <row r="1095" spans="1:2" x14ac:dyDescent="0.3">
      <c r="A1095" t="s">
        <v>2186</v>
      </c>
      <c r="B1095" t="s">
        <v>2187</v>
      </c>
    </row>
    <row r="1096" spans="1:2" x14ac:dyDescent="0.3">
      <c r="A1096" t="s">
        <v>2188</v>
      </c>
      <c r="B1096" t="s">
        <v>2189</v>
      </c>
    </row>
    <row r="1097" spans="1:2" x14ac:dyDescent="0.3">
      <c r="A1097" t="s">
        <v>2190</v>
      </c>
      <c r="B1097" t="s">
        <v>2191</v>
      </c>
    </row>
    <row r="1098" spans="1:2" x14ac:dyDescent="0.3">
      <c r="A1098" t="s">
        <v>2192</v>
      </c>
      <c r="B1098" t="s">
        <v>2193</v>
      </c>
    </row>
    <row r="1099" spans="1:2" x14ac:dyDescent="0.3">
      <c r="A1099" t="s">
        <v>2194</v>
      </c>
      <c r="B1099" t="s">
        <v>2195</v>
      </c>
    </row>
    <row r="1100" spans="1:2" x14ac:dyDescent="0.3">
      <c r="A1100" t="s">
        <v>2196</v>
      </c>
      <c r="B1100" t="s">
        <v>2197</v>
      </c>
    </row>
    <row r="1101" spans="1:2" x14ac:dyDescent="0.3">
      <c r="A1101" t="s">
        <v>2198</v>
      </c>
      <c r="B1101" t="s">
        <v>2199</v>
      </c>
    </row>
    <row r="1102" spans="1:2" x14ac:dyDescent="0.3">
      <c r="A1102" t="s">
        <v>2200</v>
      </c>
      <c r="B1102" t="s">
        <v>2201</v>
      </c>
    </row>
    <row r="1103" spans="1:2" x14ac:dyDescent="0.3">
      <c r="A1103" t="s">
        <v>2202</v>
      </c>
      <c r="B1103" t="s">
        <v>2203</v>
      </c>
    </row>
    <row r="1104" spans="1:2" x14ac:dyDescent="0.3">
      <c r="A1104" t="s">
        <v>2204</v>
      </c>
      <c r="B1104" t="s">
        <v>2205</v>
      </c>
    </row>
    <row r="1105" spans="1:2" x14ac:dyDescent="0.3">
      <c r="A1105" t="s">
        <v>2206</v>
      </c>
      <c r="B1105" t="s">
        <v>2207</v>
      </c>
    </row>
    <row r="1106" spans="1:2" x14ac:dyDescent="0.3">
      <c r="A1106" t="s">
        <v>2208</v>
      </c>
      <c r="B1106" t="s">
        <v>2209</v>
      </c>
    </row>
    <row r="1107" spans="1:2" x14ac:dyDescent="0.3">
      <c r="A1107" t="s">
        <v>2210</v>
      </c>
      <c r="B1107" t="s">
        <v>2211</v>
      </c>
    </row>
    <row r="1108" spans="1:2" x14ac:dyDescent="0.3">
      <c r="A1108" t="s">
        <v>2212</v>
      </c>
      <c r="B1108" t="s">
        <v>2213</v>
      </c>
    </row>
    <row r="1109" spans="1:2" x14ac:dyDescent="0.3">
      <c r="A1109" t="s">
        <v>2214</v>
      </c>
      <c r="B1109" t="s">
        <v>2215</v>
      </c>
    </row>
    <row r="1110" spans="1:2" x14ac:dyDescent="0.3">
      <c r="A1110" t="s">
        <v>2216</v>
      </c>
      <c r="B1110" t="s">
        <v>2217</v>
      </c>
    </row>
    <row r="1111" spans="1:2" x14ac:dyDescent="0.3">
      <c r="A1111" t="s">
        <v>2218</v>
      </c>
      <c r="B1111" t="s">
        <v>2219</v>
      </c>
    </row>
    <row r="1112" spans="1:2" x14ac:dyDescent="0.3">
      <c r="A1112" t="s">
        <v>2220</v>
      </c>
      <c r="B1112" t="s">
        <v>2221</v>
      </c>
    </row>
    <row r="1113" spans="1:2" x14ac:dyDescent="0.3">
      <c r="A1113" t="s">
        <v>2222</v>
      </c>
      <c r="B1113" t="s">
        <v>2223</v>
      </c>
    </row>
    <row r="1114" spans="1:2" x14ac:dyDescent="0.3">
      <c r="A1114" t="s">
        <v>2224</v>
      </c>
      <c r="B1114" t="s">
        <v>2225</v>
      </c>
    </row>
    <row r="1115" spans="1:2" x14ac:dyDescent="0.3">
      <c r="A1115" t="s">
        <v>2226</v>
      </c>
      <c r="B1115" t="s">
        <v>2227</v>
      </c>
    </row>
    <row r="1116" spans="1:2" x14ac:dyDescent="0.3">
      <c r="A1116" t="s">
        <v>2228</v>
      </c>
      <c r="B1116" t="s">
        <v>2229</v>
      </c>
    </row>
    <row r="1117" spans="1:2" x14ac:dyDescent="0.3">
      <c r="A1117" t="s">
        <v>2230</v>
      </c>
      <c r="B1117" t="s">
        <v>2231</v>
      </c>
    </row>
    <row r="1118" spans="1:2" x14ac:dyDescent="0.3">
      <c r="A1118" t="s">
        <v>2232</v>
      </c>
      <c r="B1118" t="s">
        <v>2233</v>
      </c>
    </row>
    <row r="1119" spans="1:2" x14ac:dyDescent="0.3">
      <c r="A1119" t="s">
        <v>2234</v>
      </c>
      <c r="B1119" t="s">
        <v>2235</v>
      </c>
    </row>
    <row r="1120" spans="1:2" x14ac:dyDescent="0.3">
      <c r="A1120" t="s">
        <v>2236</v>
      </c>
      <c r="B1120" t="s">
        <v>2237</v>
      </c>
    </row>
    <row r="1121" spans="1:2" x14ac:dyDescent="0.3">
      <c r="A1121" t="s">
        <v>2238</v>
      </c>
      <c r="B1121" t="s">
        <v>2239</v>
      </c>
    </row>
    <row r="1122" spans="1:2" x14ac:dyDescent="0.3">
      <c r="A1122" t="s">
        <v>2240</v>
      </c>
      <c r="B1122" t="s">
        <v>2241</v>
      </c>
    </row>
    <row r="1123" spans="1:2" x14ac:dyDescent="0.3">
      <c r="A1123" t="s">
        <v>2242</v>
      </c>
      <c r="B1123" t="s">
        <v>2243</v>
      </c>
    </row>
    <row r="1124" spans="1:2" x14ac:dyDescent="0.3">
      <c r="A1124" t="s">
        <v>2244</v>
      </c>
      <c r="B1124" t="s">
        <v>2245</v>
      </c>
    </row>
    <row r="1125" spans="1:2" x14ac:dyDescent="0.3">
      <c r="A1125" t="s">
        <v>2246</v>
      </c>
      <c r="B1125" t="s">
        <v>2247</v>
      </c>
    </row>
    <row r="1126" spans="1:2" x14ac:dyDescent="0.3">
      <c r="A1126" t="s">
        <v>2248</v>
      </c>
      <c r="B1126" t="s">
        <v>2249</v>
      </c>
    </row>
    <row r="1127" spans="1:2" x14ac:dyDescent="0.3">
      <c r="A1127" t="s">
        <v>2250</v>
      </c>
      <c r="B1127" t="s">
        <v>2251</v>
      </c>
    </row>
    <row r="1128" spans="1:2" x14ac:dyDescent="0.3">
      <c r="A1128" t="s">
        <v>2252</v>
      </c>
      <c r="B1128" t="s">
        <v>2253</v>
      </c>
    </row>
    <row r="1129" spans="1:2" x14ac:dyDescent="0.3">
      <c r="A1129" t="s">
        <v>2254</v>
      </c>
      <c r="B1129" t="s">
        <v>2255</v>
      </c>
    </row>
    <row r="1130" spans="1:2" x14ac:dyDescent="0.3">
      <c r="A1130" t="s">
        <v>2256</v>
      </c>
      <c r="B1130" t="s">
        <v>2257</v>
      </c>
    </row>
    <row r="1131" spans="1:2" x14ac:dyDescent="0.3">
      <c r="A1131" t="s">
        <v>2258</v>
      </c>
      <c r="B1131" t="s">
        <v>2259</v>
      </c>
    </row>
    <row r="1132" spans="1:2" x14ac:dyDescent="0.3">
      <c r="A1132" t="s">
        <v>2260</v>
      </c>
      <c r="B1132" t="s">
        <v>2261</v>
      </c>
    </row>
    <row r="1133" spans="1:2" x14ac:dyDescent="0.3">
      <c r="A1133" t="s">
        <v>2262</v>
      </c>
      <c r="B1133" t="s">
        <v>2263</v>
      </c>
    </row>
    <row r="1134" spans="1:2" x14ac:dyDescent="0.3">
      <c r="A1134" t="s">
        <v>2264</v>
      </c>
      <c r="B1134" t="s">
        <v>2265</v>
      </c>
    </row>
    <row r="1135" spans="1:2" x14ac:dyDescent="0.3">
      <c r="A1135" t="s">
        <v>2266</v>
      </c>
      <c r="B1135" t="s">
        <v>2267</v>
      </c>
    </row>
    <row r="1136" spans="1:2" x14ac:dyDescent="0.3">
      <c r="A1136" t="s">
        <v>2268</v>
      </c>
      <c r="B1136" t="s">
        <v>2269</v>
      </c>
    </row>
    <row r="1137" spans="1:2" x14ac:dyDescent="0.3">
      <c r="A1137" t="s">
        <v>2270</v>
      </c>
      <c r="B1137" t="s">
        <v>2271</v>
      </c>
    </row>
    <row r="1138" spans="1:2" x14ac:dyDescent="0.3">
      <c r="A1138" t="s">
        <v>2272</v>
      </c>
      <c r="B1138" t="s">
        <v>2273</v>
      </c>
    </row>
    <row r="1139" spans="1:2" x14ac:dyDescent="0.3">
      <c r="A1139" t="s">
        <v>2274</v>
      </c>
      <c r="B1139" t="s">
        <v>2275</v>
      </c>
    </row>
    <row r="1140" spans="1:2" x14ac:dyDescent="0.3">
      <c r="A1140" t="s">
        <v>2276</v>
      </c>
      <c r="B1140" t="s">
        <v>2277</v>
      </c>
    </row>
    <row r="1141" spans="1:2" x14ac:dyDescent="0.3">
      <c r="A1141" t="s">
        <v>2278</v>
      </c>
      <c r="B1141" t="s">
        <v>2279</v>
      </c>
    </row>
    <row r="1142" spans="1:2" x14ac:dyDescent="0.3">
      <c r="A1142" t="s">
        <v>2280</v>
      </c>
      <c r="B1142" t="s">
        <v>2281</v>
      </c>
    </row>
    <row r="1143" spans="1:2" x14ac:dyDescent="0.3">
      <c r="A1143" t="s">
        <v>2282</v>
      </c>
      <c r="B1143" t="s">
        <v>2283</v>
      </c>
    </row>
    <row r="1144" spans="1:2" x14ac:dyDescent="0.3">
      <c r="A1144" t="s">
        <v>2284</v>
      </c>
      <c r="B1144" t="s">
        <v>2285</v>
      </c>
    </row>
    <row r="1145" spans="1:2" x14ac:dyDescent="0.3">
      <c r="A1145" t="s">
        <v>2286</v>
      </c>
      <c r="B1145" t="s">
        <v>2287</v>
      </c>
    </row>
    <row r="1146" spans="1:2" x14ac:dyDescent="0.3">
      <c r="A1146" t="s">
        <v>2288</v>
      </c>
      <c r="B1146" t="s">
        <v>2289</v>
      </c>
    </row>
    <row r="1147" spans="1:2" x14ac:dyDescent="0.3">
      <c r="A1147" t="s">
        <v>2290</v>
      </c>
      <c r="B1147" t="s">
        <v>2291</v>
      </c>
    </row>
    <row r="1148" spans="1:2" x14ac:dyDescent="0.3">
      <c r="A1148" t="s">
        <v>2292</v>
      </c>
      <c r="B1148" t="s">
        <v>2293</v>
      </c>
    </row>
    <row r="1149" spans="1:2" x14ac:dyDescent="0.3">
      <c r="A1149" t="s">
        <v>2294</v>
      </c>
      <c r="B1149" t="s">
        <v>2295</v>
      </c>
    </row>
    <row r="1150" spans="1:2" x14ac:dyDescent="0.3">
      <c r="A1150" t="s">
        <v>2296</v>
      </c>
      <c r="B1150" t="s">
        <v>2297</v>
      </c>
    </row>
    <row r="1151" spans="1:2" x14ac:dyDescent="0.3">
      <c r="A1151" t="s">
        <v>2298</v>
      </c>
      <c r="B1151" t="s">
        <v>2299</v>
      </c>
    </row>
    <row r="1152" spans="1:2" x14ac:dyDescent="0.3">
      <c r="A1152" t="s">
        <v>2300</v>
      </c>
      <c r="B1152" t="s">
        <v>2301</v>
      </c>
    </row>
    <row r="1153" spans="1:2" x14ac:dyDescent="0.3">
      <c r="A1153" t="s">
        <v>2302</v>
      </c>
      <c r="B1153" t="s">
        <v>2303</v>
      </c>
    </row>
    <row r="1154" spans="1:2" x14ac:dyDescent="0.3">
      <c r="A1154" t="s">
        <v>2304</v>
      </c>
      <c r="B1154" t="s">
        <v>2305</v>
      </c>
    </row>
    <row r="1155" spans="1:2" x14ac:dyDescent="0.3">
      <c r="A1155" t="s">
        <v>2306</v>
      </c>
      <c r="B1155" t="s">
        <v>2307</v>
      </c>
    </row>
    <row r="1156" spans="1:2" x14ac:dyDescent="0.3">
      <c r="A1156" t="s">
        <v>2308</v>
      </c>
      <c r="B1156" t="s">
        <v>2309</v>
      </c>
    </row>
    <row r="1157" spans="1:2" x14ac:dyDescent="0.3">
      <c r="A1157" t="s">
        <v>2310</v>
      </c>
      <c r="B1157" t="s">
        <v>2311</v>
      </c>
    </row>
    <row r="1158" spans="1:2" x14ac:dyDescent="0.3">
      <c r="A1158" t="s">
        <v>2312</v>
      </c>
      <c r="B1158" t="s">
        <v>2313</v>
      </c>
    </row>
    <row r="1159" spans="1:2" x14ac:dyDescent="0.3">
      <c r="A1159" t="s">
        <v>2314</v>
      </c>
      <c r="B1159" t="s">
        <v>2315</v>
      </c>
    </row>
    <row r="1160" spans="1:2" x14ac:dyDescent="0.3">
      <c r="A1160" t="s">
        <v>2316</v>
      </c>
      <c r="B1160" t="s">
        <v>2317</v>
      </c>
    </row>
    <row r="1161" spans="1:2" x14ac:dyDescent="0.3">
      <c r="A1161" t="s">
        <v>2318</v>
      </c>
      <c r="B1161" t="s">
        <v>2319</v>
      </c>
    </row>
    <row r="1162" spans="1:2" x14ac:dyDescent="0.3">
      <c r="A1162" t="s">
        <v>2320</v>
      </c>
      <c r="B1162" t="s">
        <v>2321</v>
      </c>
    </row>
    <row r="1163" spans="1:2" x14ac:dyDescent="0.3">
      <c r="A1163" t="s">
        <v>2322</v>
      </c>
      <c r="B1163" t="s">
        <v>2323</v>
      </c>
    </row>
    <row r="1164" spans="1:2" x14ac:dyDescent="0.3">
      <c r="A1164" t="s">
        <v>2324</v>
      </c>
      <c r="B1164" t="s">
        <v>2325</v>
      </c>
    </row>
    <row r="1165" spans="1:2" x14ac:dyDescent="0.3">
      <c r="A1165" t="s">
        <v>2326</v>
      </c>
      <c r="B1165" t="s">
        <v>2327</v>
      </c>
    </row>
    <row r="1166" spans="1:2" x14ac:dyDescent="0.3">
      <c r="A1166" t="s">
        <v>2328</v>
      </c>
      <c r="B1166" t="s">
        <v>2329</v>
      </c>
    </row>
    <row r="1167" spans="1:2" x14ac:dyDescent="0.3">
      <c r="A1167" t="s">
        <v>2330</v>
      </c>
      <c r="B1167" t="s">
        <v>2331</v>
      </c>
    </row>
    <row r="1168" spans="1:2" x14ac:dyDescent="0.3">
      <c r="A1168" t="s">
        <v>2332</v>
      </c>
      <c r="B1168" t="s">
        <v>2333</v>
      </c>
    </row>
    <row r="1169" spans="1:2" x14ac:dyDescent="0.3">
      <c r="A1169" t="s">
        <v>2334</v>
      </c>
      <c r="B1169" t="s">
        <v>2335</v>
      </c>
    </row>
    <row r="1170" spans="1:2" x14ac:dyDescent="0.3">
      <c r="A1170" t="s">
        <v>2336</v>
      </c>
      <c r="B1170" t="s">
        <v>2337</v>
      </c>
    </row>
    <row r="1171" spans="1:2" x14ac:dyDescent="0.3">
      <c r="A1171" t="s">
        <v>2338</v>
      </c>
      <c r="B1171" t="s">
        <v>2339</v>
      </c>
    </row>
    <row r="1172" spans="1:2" x14ac:dyDescent="0.3">
      <c r="A1172" t="s">
        <v>2340</v>
      </c>
      <c r="B1172" t="s">
        <v>2341</v>
      </c>
    </row>
    <row r="1173" spans="1:2" x14ac:dyDescent="0.3">
      <c r="A1173" t="s">
        <v>2342</v>
      </c>
      <c r="B1173" t="s">
        <v>2343</v>
      </c>
    </row>
    <row r="1174" spans="1:2" x14ac:dyDescent="0.3">
      <c r="A1174" t="s">
        <v>2344</v>
      </c>
      <c r="B1174" t="s">
        <v>2345</v>
      </c>
    </row>
    <row r="1175" spans="1:2" x14ac:dyDescent="0.3">
      <c r="A1175" t="s">
        <v>2346</v>
      </c>
      <c r="B1175" t="s">
        <v>2347</v>
      </c>
    </row>
    <row r="1176" spans="1:2" x14ac:dyDescent="0.3">
      <c r="A1176" t="s">
        <v>2348</v>
      </c>
      <c r="B1176" t="s">
        <v>2349</v>
      </c>
    </row>
    <row r="1177" spans="1:2" x14ac:dyDescent="0.3">
      <c r="A1177" t="s">
        <v>2350</v>
      </c>
      <c r="B1177" t="s">
        <v>2351</v>
      </c>
    </row>
    <row r="1178" spans="1:2" x14ac:dyDescent="0.3">
      <c r="A1178" t="s">
        <v>2352</v>
      </c>
      <c r="B1178" t="s">
        <v>2353</v>
      </c>
    </row>
    <row r="1179" spans="1:2" x14ac:dyDescent="0.3">
      <c r="A1179" t="s">
        <v>2354</v>
      </c>
      <c r="B1179" t="s">
        <v>2355</v>
      </c>
    </row>
    <row r="1180" spans="1:2" x14ac:dyDescent="0.3">
      <c r="A1180" t="s">
        <v>2356</v>
      </c>
      <c r="B1180" t="s">
        <v>2357</v>
      </c>
    </row>
    <row r="1181" spans="1:2" x14ac:dyDescent="0.3">
      <c r="A1181" t="s">
        <v>2358</v>
      </c>
      <c r="B1181" t="s">
        <v>2359</v>
      </c>
    </row>
    <row r="1182" spans="1:2" x14ac:dyDescent="0.3">
      <c r="A1182" t="s">
        <v>2360</v>
      </c>
      <c r="B1182" t="s">
        <v>2361</v>
      </c>
    </row>
    <row r="1183" spans="1:2" x14ac:dyDescent="0.3">
      <c r="A1183" t="s">
        <v>2362</v>
      </c>
      <c r="B1183" t="s">
        <v>2363</v>
      </c>
    </row>
    <row r="1184" spans="1:2" x14ac:dyDescent="0.3">
      <c r="A1184" t="s">
        <v>2364</v>
      </c>
      <c r="B1184" t="s">
        <v>2365</v>
      </c>
    </row>
    <row r="1185" spans="1:2" x14ac:dyDescent="0.3">
      <c r="A1185" t="s">
        <v>2366</v>
      </c>
      <c r="B1185" t="s">
        <v>2367</v>
      </c>
    </row>
    <row r="1186" spans="1:2" x14ac:dyDescent="0.3">
      <c r="A1186" t="s">
        <v>2368</v>
      </c>
      <c r="B1186" t="s">
        <v>2369</v>
      </c>
    </row>
    <row r="1187" spans="1:2" x14ac:dyDescent="0.3">
      <c r="A1187" t="s">
        <v>2370</v>
      </c>
      <c r="B1187" t="s">
        <v>2371</v>
      </c>
    </row>
    <row r="1188" spans="1:2" x14ac:dyDescent="0.3">
      <c r="A1188" t="s">
        <v>2372</v>
      </c>
      <c r="B1188" t="s">
        <v>2373</v>
      </c>
    </row>
    <row r="1189" spans="1:2" x14ac:dyDescent="0.3">
      <c r="A1189" t="s">
        <v>2374</v>
      </c>
      <c r="B1189" t="s">
        <v>2375</v>
      </c>
    </row>
    <row r="1190" spans="1:2" x14ac:dyDescent="0.3">
      <c r="A1190" t="s">
        <v>2376</v>
      </c>
      <c r="B1190" t="s">
        <v>2377</v>
      </c>
    </row>
    <row r="1191" spans="1:2" x14ac:dyDescent="0.3">
      <c r="A1191" t="s">
        <v>2378</v>
      </c>
      <c r="B1191" t="s">
        <v>2379</v>
      </c>
    </row>
    <row r="1192" spans="1:2" x14ac:dyDescent="0.3">
      <c r="A1192" t="s">
        <v>2380</v>
      </c>
      <c r="B1192" t="s">
        <v>2381</v>
      </c>
    </row>
    <row r="1193" spans="1:2" x14ac:dyDescent="0.3">
      <c r="A1193" t="s">
        <v>2382</v>
      </c>
      <c r="B1193" t="s">
        <v>2383</v>
      </c>
    </row>
    <row r="1194" spans="1:2" x14ac:dyDescent="0.3">
      <c r="A1194" t="s">
        <v>2384</v>
      </c>
      <c r="B1194" t="s">
        <v>2385</v>
      </c>
    </row>
    <row r="1195" spans="1:2" x14ac:dyDescent="0.3">
      <c r="A1195" t="s">
        <v>2386</v>
      </c>
      <c r="B1195" t="s">
        <v>2387</v>
      </c>
    </row>
    <row r="1196" spans="1:2" x14ac:dyDescent="0.3">
      <c r="A1196" t="s">
        <v>2388</v>
      </c>
      <c r="B1196" t="s">
        <v>2389</v>
      </c>
    </row>
    <row r="1197" spans="1:2" x14ac:dyDescent="0.3">
      <c r="A1197" t="s">
        <v>2390</v>
      </c>
      <c r="B1197" t="s">
        <v>2391</v>
      </c>
    </row>
    <row r="1198" spans="1:2" x14ac:dyDescent="0.3">
      <c r="A1198" t="s">
        <v>2392</v>
      </c>
      <c r="B1198" t="s">
        <v>2393</v>
      </c>
    </row>
    <row r="1199" spans="1:2" x14ac:dyDescent="0.3">
      <c r="A1199" t="s">
        <v>2394</v>
      </c>
      <c r="B1199" t="s">
        <v>2395</v>
      </c>
    </row>
    <row r="1200" spans="1:2" x14ac:dyDescent="0.3">
      <c r="A1200" t="s">
        <v>2396</v>
      </c>
      <c r="B1200" t="s">
        <v>2397</v>
      </c>
    </row>
    <row r="1201" spans="1:2" x14ac:dyDescent="0.3">
      <c r="A1201" t="s">
        <v>2398</v>
      </c>
      <c r="B1201" t="s">
        <v>2399</v>
      </c>
    </row>
    <row r="1202" spans="1:2" x14ac:dyDescent="0.3">
      <c r="A1202" t="s">
        <v>2400</v>
      </c>
      <c r="B1202" t="s">
        <v>2401</v>
      </c>
    </row>
    <row r="1203" spans="1:2" x14ac:dyDescent="0.3">
      <c r="A1203" t="s">
        <v>2402</v>
      </c>
      <c r="B1203" t="s">
        <v>2403</v>
      </c>
    </row>
    <row r="1204" spans="1:2" x14ac:dyDescent="0.3">
      <c r="A1204" t="s">
        <v>2404</v>
      </c>
      <c r="B1204" t="s">
        <v>2405</v>
      </c>
    </row>
    <row r="1205" spans="1:2" x14ac:dyDescent="0.3">
      <c r="A1205" t="s">
        <v>2406</v>
      </c>
      <c r="B1205" t="s">
        <v>2407</v>
      </c>
    </row>
    <row r="1206" spans="1:2" x14ac:dyDescent="0.3">
      <c r="A1206" t="s">
        <v>2408</v>
      </c>
      <c r="B1206" t="s">
        <v>2409</v>
      </c>
    </row>
    <row r="1207" spans="1:2" x14ac:dyDescent="0.3">
      <c r="A1207" t="s">
        <v>2410</v>
      </c>
      <c r="B1207" t="s">
        <v>2411</v>
      </c>
    </row>
    <row r="1208" spans="1:2" x14ac:dyDescent="0.3">
      <c r="A1208" t="s">
        <v>2412</v>
      </c>
      <c r="B1208" t="s">
        <v>2413</v>
      </c>
    </row>
    <row r="1209" spans="1:2" x14ac:dyDescent="0.3">
      <c r="A1209" t="s">
        <v>2414</v>
      </c>
      <c r="B1209" t="s">
        <v>2415</v>
      </c>
    </row>
    <row r="1210" spans="1:2" x14ac:dyDescent="0.3">
      <c r="A1210" t="s">
        <v>2416</v>
      </c>
      <c r="B1210" t="s">
        <v>2417</v>
      </c>
    </row>
    <row r="1211" spans="1:2" x14ac:dyDescent="0.3">
      <c r="A1211" t="s">
        <v>2418</v>
      </c>
      <c r="B1211" t="s">
        <v>2419</v>
      </c>
    </row>
    <row r="1212" spans="1:2" x14ac:dyDescent="0.3">
      <c r="A1212" t="s">
        <v>2420</v>
      </c>
      <c r="B1212" t="s">
        <v>2421</v>
      </c>
    </row>
    <row r="1213" spans="1:2" x14ac:dyDescent="0.3">
      <c r="A1213" t="s">
        <v>2422</v>
      </c>
      <c r="B1213" t="s">
        <v>2423</v>
      </c>
    </row>
    <row r="1214" spans="1:2" x14ac:dyDescent="0.3">
      <c r="A1214" t="s">
        <v>2424</v>
      </c>
      <c r="B1214" t="s">
        <v>2425</v>
      </c>
    </row>
    <row r="1215" spans="1:2" x14ac:dyDescent="0.3">
      <c r="A1215" t="s">
        <v>2426</v>
      </c>
      <c r="B1215" t="s">
        <v>2427</v>
      </c>
    </row>
    <row r="1216" spans="1:2" x14ac:dyDescent="0.3">
      <c r="A1216" t="s">
        <v>2428</v>
      </c>
      <c r="B1216" t="s">
        <v>2429</v>
      </c>
    </row>
    <row r="1217" spans="1:2" x14ac:dyDescent="0.3">
      <c r="A1217" t="s">
        <v>2430</v>
      </c>
      <c r="B1217" t="s">
        <v>2431</v>
      </c>
    </row>
    <row r="1218" spans="1:2" x14ac:dyDescent="0.3">
      <c r="A1218" t="s">
        <v>2432</v>
      </c>
      <c r="B1218" t="s">
        <v>2433</v>
      </c>
    </row>
    <row r="1219" spans="1:2" x14ac:dyDescent="0.3">
      <c r="A1219" t="s">
        <v>2434</v>
      </c>
      <c r="B1219" t="s">
        <v>2435</v>
      </c>
    </row>
    <row r="1220" spans="1:2" x14ac:dyDescent="0.3">
      <c r="A1220" t="s">
        <v>2436</v>
      </c>
      <c r="B1220" t="s">
        <v>2437</v>
      </c>
    </row>
    <row r="1221" spans="1:2" x14ac:dyDescent="0.3">
      <c r="A1221" t="s">
        <v>2438</v>
      </c>
      <c r="B1221" t="s">
        <v>2439</v>
      </c>
    </row>
    <row r="1222" spans="1:2" x14ac:dyDescent="0.3">
      <c r="A1222" t="s">
        <v>2440</v>
      </c>
      <c r="B1222" t="s">
        <v>2441</v>
      </c>
    </row>
    <row r="1223" spans="1:2" x14ac:dyDescent="0.3">
      <c r="A1223" t="s">
        <v>2442</v>
      </c>
      <c r="B1223" t="s">
        <v>2443</v>
      </c>
    </row>
    <row r="1224" spans="1:2" x14ac:dyDescent="0.3">
      <c r="A1224" t="s">
        <v>2444</v>
      </c>
      <c r="B1224" t="s">
        <v>2445</v>
      </c>
    </row>
    <row r="1225" spans="1:2" x14ac:dyDescent="0.3">
      <c r="A1225" t="s">
        <v>2446</v>
      </c>
      <c r="B1225" t="s">
        <v>2447</v>
      </c>
    </row>
    <row r="1226" spans="1:2" x14ac:dyDescent="0.3">
      <c r="A1226" t="s">
        <v>2448</v>
      </c>
      <c r="B1226" t="s">
        <v>2449</v>
      </c>
    </row>
    <row r="1227" spans="1:2" x14ac:dyDescent="0.3">
      <c r="A1227" t="s">
        <v>2450</v>
      </c>
      <c r="B1227" t="s">
        <v>2451</v>
      </c>
    </row>
    <row r="1228" spans="1:2" x14ac:dyDescent="0.3">
      <c r="A1228" t="s">
        <v>2452</v>
      </c>
      <c r="B1228" t="s">
        <v>2453</v>
      </c>
    </row>
    <row r="1229" spans="1:2" x14ac:dyDescent="0.3">
      <c r="A1229" t="s">
        <v>2454</v>
      </c>
      <c r="B1229" t="s">
        <v>2455</v>
      </c>
    </row>
    <row r="1230" spans="1:2" x14ac:dyDescent="0.3">
      <c r="A1230" t="s">
        <v>2456</v>
      </c>
      <c r="B1230" t="s">
        <v>2457</v>
      </c>
    </row>
    <row r="1231" spans="1:2" x14ac:dyDescent="0.3">
      <c r="A1231" t="s">
        <v>2458</v>
      </c>
      <c r="B1231" t="s">
        <v>2459</v>
      </c>
    </row>
    <row r="1232" spans="1:2" x14ac:dyDescent="0.3">
      <c r="A1232" t="s">
        <v>2460</v>
      </c>
      <c r="B1232" t="s">
        <v>2461</v>
      </c>
    </row>
    <row r="1233" spans="1:2" x14ac:dyDescent="0.3">
      <c r="A1233" t="s">
        <v>2462</v>
      </c>
      <c r="B1233" t="s">
        <v>2463</v>
      </c>
    </row>
    <row r="1234" spans="1:2" x14ac:dyDescent="0.3">
      <c r="A1234" t="s">
        <v>2464</v>
      </c>
      <c r="B1234" t="s">
        <v>2465</v>
      </c>
    </row>
    <row r="1235" spans="1:2" x14ac:dyDescent="0.3">
      <c r="A1235" t="s">
        <v>2466</v>
      </c>
      <c r="B1235" t="s">
        <v>2467</v>
      </c>
    </row>
    <row r="1236" spans="1:2" x14ac:dyDescent="0.3">
      <c r="A1236" t="s">
        <v>2468</v>
      </c>
      <c r="B1236" t="s">
        <v>2469</v>
      </c>
    </row>
    <row r="1237" spans="1:2" x14ac:dyDescent="0.3">
      <c r="A1237" t="s">
        <v>2470</v>
      </c>
      <c r="B1237" t="s">
        <v>2471</v>
      </c>
    </row>
    <row r="1238" spans="1:2" x14ac:dyDescent="0.3">
      <c r="A1238" t="s">
        <v>2472</v>
      </c>
      <c r="B1238" t="s">
        <v>2473</v>
      </c>
    </row>
    <row r="1239" spans="1:2" x14ac:dyDescent="0.3">
      <c r="A1239" t="s">
        <v>2474</v>
      </c>
      <c r="B1239" t="s">
        <v>2475</v>
      </c>
    </row>
    <row r="1240" spans="1:2" x14ac:dyDescent="0.3">
      <c r="A1240" t="s">
        <v>2476</v>
      </c>
      <c r="B1240" t="s">
        <v>2477</v>
      </c>
    </row>
    <row r="1241" spans="1:2" x14ac:dyDescent="0.3">
      <c r="A1241" t="s">
        <v>2478</v>
      </c>
      <c r="B1241" t="s">
        <v>2479</v>
      </c>
    </row>
    <row r="1242" spans="1:2" x14ac:dyDescent="0.3">
      <c r="A1242" t="s">
        <v>2408</v>
      </c>
      <c r="B1242" t="s">
        <v>2480</v>
      </c>
    </row>
    <row r="1243" spans="1:2" x14ac:dyDescent="0.3">
      <c r="A1243" t="s">
        <v>2481</v>
      </c>
      <c r="B1243" t="s">
        <v>2482</v>
      </c>
    </row>
    <row r="1244" spans="1:2" x14ac:dyDescent="0.3">
      <c r="A1244" t="s">
        <v>2483</v>
      </c>
      <c r="B1244" t="s">
        <v>2484</v>
      </c>
    </row>
    <row r="1245" spans="1:2" x14ac:dyDescent="0.3">
      <c r="A1245" t="s">
        <v>2485</v>
      </c>
      <c r="B1245" t="s">
        <v>2486</v>
      </c>
    </row>
    <row r="1246" spans="1:2" x14ac:dyDescent="0.3">
      <c r="A1246" t="s">
        <v>2487</v>
      </c>
      <c r="B1246" t="s">
        <v>2488</v>
      </c>
    </row>
    <row r="1247" spans="1:2" x14ac:dyDescent="0.3">
      <c r="A1247" t="s">
        <v>2489</v>
      </c>
      <c r="B1247" t="s">
        <v>2490</v>
      </c>
    </row>
    <row r="1248" spans="1:2" x14ac:dyDescent="0.3">
      <c r="A1248" t="s">
        <v>2491</v>
      </c>
      <c r="B1248" t="s">
        <v>2492</v>
      </c>
    </row>
    <row r="1249" spans="1:2" x14ac:dyDescent="0.3">
      <c r="A1249" t="s">
        <v>2493</v>
      </c>
      <c r="B1249" t="s">
        <v>2494</v>
      </c>
    </row>
    <row r="1250" spans="1:2" x14ac:dyDescent="0.3">
      <c r="A1250" t="s">
        <v>2495</v>
      </c>
      <c r="B1250" t="s">
        <v>2496</v>
      </c>
    </row>
    <row r="1251" spans="1:2" x14ac:dyDescent="0.3">
      <c r="A1251" t="s">
        <v>2497</v>
      </c>
      <c r="B1251" t="s">
        <v>2498</v>
      </c>
    </row>
    <row r="1252" spans="1:2" x14ac:dyDescent="0.3">
      <c r="A1252" t="s">
        <v>2499</v>
      </c>
      <c r="B1252" t="s">
        <v>2500</v>
      </c>
    </row>
    <row r="1253" spans="1:2" x14ac:dyDescent="0.3">
      <c r="A1253" t="s">
        <v>2501</v>
      </c>
      <c r="B1253" t="s">
        <v>2502</v>
      </c>
    </row>
    <row r="1254" spans="1:2" x14ac:dyDescent="0.3">
      <c r="A1254" t="s">
        <v>2503</v>
      </c>
      <c r="B1254" t="s">
        <v>2504</v>
      </c>
    </row>
    <row r="1255" spans="1:2" x14ac:dyDescent="0.3">
      <c r="A1255" t="s">
        <v>2505</v>
      </c>
      <c r="B1255" t="s">
        <v>2506</v>
      </c>
    </row>
    <row r="1256" spans="1:2" x14ac:dyDescent="0.3">
      <c r="A1256" t="s">
        <v>2507</v>
      </c>
      <c r="B1256" t="s">
        <v>2508</v>
      </c>
    </row>
    <row r="1257" spans="1:2" x14ac:dyDescent="0.3">
      <c r="A1257" t="s">
        <v>2509</v>
      </c>
      <c r="B1257" t="s">
        <v>2510</v>
      </c>
    </row>
    <row r="1258" spans="1:2" x14ac:dyDescent="0.3">
      <c r="A1258" t="s">
        <v>2511</v>
      </c>
      <c r="B1258" t="s">
        <v>2512</v>
      </c>
    </row>
    <row r="1259" spans="1:2" x14ac:dyDescent="0.3">
      <c r="A1259" t="s">
        <v>2513</v>
      </c>
      <c r="B1259" t="s">
        <v>2514</v>
      </c>
    </row>
    <row r="1260" spans="1:2" x14ac:dyDescent="0.3">
      <c r="A1260" t="s">
        <v>2515</v>
      </c>
      <c r="B1260" t="s">
        <v>2516</v>
      </c>
    </row>
    <row r="1261" spans="1:2" x14ac:dyDescent="0.3">
      <c r="A1261" t="s">
        <v>2517</v>
      </c>
      <c r="B1261" t="s">
        <v>2518</v>
      </c>
    </row>
    <row r="1262" spans="1:2" x14ac:dyDescent="0.3">
      <c r="A1262" t="s">
        <v>2519</v>
      </c>
      <c r="B1262" t="s">
        <v>2520</v>
      </c>
    </row>
    <row r="1263" spans="1:2" x14ac:dyDescent="0.3">
      <c r="A1263" t="s">
        <v>2521</v>
      </c>
      <c r="B1263" t="s">
        <v>2522</v>
      </c>
    </row>
    <row r="1264" spans="1:2" x14ac:dyDescent="0.3">
      <c r="A1264" t="s">
        <v>2523</v>
      </c>
      <c r="B1264" t="s">
        <v>2524</v>
      </c>
    </row>
    <row r="1265" spans="1:2" x14ac:dyDescent="0.3">
      <c r="A1265" t="s">
        <v>2525</v>
      </c>
      <c r="B1265" t="s">
        <v>2526</v>
      </c>
    </row>
    <row r="1266" spans="1:2" x14ac:dyDescent="0.3">
      <c r="A1266" t="s">
        <v>2527</v>
      </c>
      <c r="B1266" t="s">
        <v>2528</v>
      </c>
    </row>
    <row r="1267" spans="1:2" x14ac:dyDescent="0.3">
      <c r="A1267" t="s">
        <v>2529</v>
      </c>
      <c r="B1267" t="s">
        <v>2530</v>
      </c>
    </row>
    <row r="1268" spans="1:2" x14ac:dyDescent="0.3">
      <c r="A1268" t="s">
        <v>2531</v>
      </c>
      <c r="B1268" t="s">
        <v>2532</v>
      </c>
    </row>
    <row r="1269" spans="1:2" x14ac:dyDescent="0.3">
      <c r="A1269" t="s">
        <v>2533</v>
      </c>
      <c r="B1269" t="s">
        <v>2534</v>
      </c>
    </row>
    <row r="1270" spans="1:2" x14ac:dyDescent="0.3">
      <c r="A1270" t="s">
        <v>2535</v>
      </c>
      <c r="B1270" t="s">
        <v>2480</v>
      </c>
    </row>
    <row r="1271" spans="1:2" x14ac:dyDescent="0.3">
      <c r="A1271" t="s">
        <v>2536</v>
      </c>
      <c r="B1271" t="s">
        <v>2537</v>
      </c>
    </row>
    <row r="1272" spans="1:2" x14ac:dyDescent="0.3">
      <c r="A1272" t="s">
        <v>2538</v>
      </c>
      <c r="B1272" t="s">
        <v>2539</v>
      </c>
    </row>
    <row r="1273" spans="1:2" x14ac:dyDescent="0.3">
      <c r="A1273" t="s">
        <v>2540</v>
      </c>
      <c r="B1273" t="s">
        <v>2541</v>
      </c>
    </row>
    <row r="1274" spans="1:2" x14ac:dyDescent="0.3">
      <c r="A1274" t="s">
        <v>2542</v>
      </c>
      <c r="B1274" t="s">
        <v>2543</v>
      </c>
    </row>
    <row r="1275" spans="1:2" x14ac:dyDescent="0.3">
      <c r="A1275" t="s">
        <v>2544</v>
      </c>
      <c r="B1275" t="s">
        <v>2545</v>
      </c>
    </row>
    <row r="1276" spans="1:2" x14ac:dyDescent="0.3">
      <c r="A1276" t="s">
        <v>2546</v>
      </c>
      <c r="B1276" t="s">
        <v>2547</v>
      </c>
    </row>
    <row r="1277" spans="1:2" x14ac:dyDescent="0.3">
      <c r="A1277" t="s">
        <v>2548</v>
      </c>
      <c r="B1277" t="s">
        <v>2549</v>
      </c>
    </row>
    <row r="1278" spans="1:2" x14ac:dyDescent="0.3">
      <c r="A1278" t="s">
        <v>2550</v>
      </c>
      <c r="B1278" t="s">
        <v>2551</v>
      </c>
    </row>
    <row r="1279" spans="1:2" x14ac:dyDescent="0.3">
      <c r="A1279" t="s">
        <v>2552</v>
      </c>
      <c r="B1279" t="s">
        <v>2553</v>
      </c>
    </row>
    <row r="1280" spans="1:2" x14ac:dyDescent="0.3">
      <c r="A1280" t="s">
        <v>2554</v>
      </c>
      <c r="B1280" t="s">
        <v>2555</v>
      </c>
    </row>
    <row r="1281" spans="1:2" x14ac:dyDescent="0.3">
      <c r="A1281" t="s">
        <v>2556</v>
      </c>
      <c r="B1281" t="s">
        <v>485</v>
      </c>
    </row>
    <row r="1282" spans="1:2" x14ac:dyDescent="0.3">
      <c r="A1282" t="s">
        <v>2557</v>
      </c>
      <c r="B1282" t="s">
        <v>2455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ages</vt:lpstr>
      <vt:lpstr>ages_compare</vt:lpstr>
      <vt:lpstr>agreement_only</vt:lpstr>
      <vt:lpstr>sr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Larisa Thacher</dc:creator>
  <cp:lastModifiedBy>Malte Willmes</cp:lastModifiedBy>
  <dcterms:created xsi:type="dcterms:W3CDTF">2024-11-05T19:13:39Z</dcterms:created>
  <dcterms:modified xsi:type="dcterms:W3CDTF">2025-11-09T21:25:08Z</dcterms:modified>
</cp:coreProperties>
</file>